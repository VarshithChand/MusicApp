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API routes" sheetId="4" state="visible" r:id="rId4"/>
    <sheet xmlns:r="http://schemas.openxmlformats.org/officeDocument/2006/relationships" name="Screen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Rules" sheetId="7" state="visible" r:id="rId7"/>
  </sheets>
  <definedNames>
    <definedName name="_xlnm._FilterDatabase" localSheetId="1" hidden="1">'Roadmap'!$A$4:$G$66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2"/>
    </font>
    <font>
      <name val="Arial"/>
      <b val="1"/>
      <sz val="10"/>
    </font>
    <font>
      <name val="Arial"/>
      <b val="1"/>
      <color rgb="001F3A5F"/>
      <sz val="11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6"/>
      </patternFill>
    </fill>
  </fills>
  <borders count="6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  <border>
      <left/>
      <right/>
      <top style="thin">
        <color rgb="00C8CDD3"/>
      </top>
      <bottom/>
      <diagonal/>
    </border>
    <border>
      <left/>
      <right style="thin">
        <color rgb="00C8CDD3"/>
      </right>
      <top style="thin">
        <color rgb="00C8CDD3"/>
      </top>
      <bottom/>
      <diagonal/>
    </border>
    <border>
      <left/>
      <right/>
      <top style="thin">
        <color rgb="00C8CDD3"/>
      </top>
      <bottom style="thin">
        <color rgb="00C8CDD3"/>
      </bottom>
      <diagonal/>
    </border>
    <border>
      <left/>
      <right style="thin">
        <color rgb="00C8CDD3"/>
      </right>
      <top style="thin">
        <color rgb="00C8CDD3"/>
      </top>
      <bottom style="thin">
        <color rgb="00C8CDD3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0" fontId="7" fillId="3" borderId="1" applyAlignment="1" pivotButton="0" quotePrefix="0" xfId="0">
      <alignment horizontal="right"/>
    </xf>
    <xf numFmtId="9" fontId="7" fillId="3" borderId="1" applyAlignment="1" pivotButton="0" quotePrefix="0" xfId="0">
      <alignment horizontal="right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9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2">
    <dxf>
      <fill>
        <patternFill patternType="solid">
          <fgColor rgb="00DFF3E3"/>
          <bgColor rgb="00DFF3E3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8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Music app - where we are</t>
        </is>
      </c>
    </row>
    <row r="2">
      <c r="A2" s="2" t="inlineStr">
        <is>
          <t>Everything here is calculated from the Roadmap sheet. Do not type in the grey cells.</t>
        </is>
      </c>
    </row>
    <row r="4">
      <c r="A4" s="3" t="inlineStr">
        <is>
          <t>Overall progress</t>
        </is>
      </c>
    </row>
    <row r="5">
      <c r="A5" s="4" t="inlineStr">
        <is>
          <t>Tasks done</t>
        </is>
      </c>
      <c r="B5" s="5">
        <f>COUNTIF(Roadmap!E5:E66,"☑")</f>
        <v/>
      </c>
    </row>
    <row r="6">
      <c r="A6" s="4" t="inlineStr">
        <is>
          <t>Tasks in total</t>
        </is>
      </c>
      <c r="B6" s="5">
        <f>COUNTA(Roadmap!C5:C66)</f>
        <v/>
      </c>
    </row>
    <row r="7">
      <c r="A7" s="4" t="inlineStr">
        <is>
          <t>Complete</t>
        </is>
      </c>
      <c r="B7" s="6">
        <f>IF(B6=0,0,B5/B6)</f>
        <v/>
      </c>
    </row>
    <row r="8">
      <c r="A8" s="4" t="inlineStr">
        <is>
          <t>Waiting on you</t>
        </is>
      </c>
      <c r="B8" s="5">
        <f>COUNTIF(Roadmap!F5:F66,"Needs you")</f>
        <v/>
      </c>
    </row>
    <row r="9">
      <c r="A9" s="4" t="inlineStr">
        <is>
          <t>Marked Next</t>
        </is>
      </c>
      <c r="B9" s="5">
        <f>COUNTIF(Roadmap!F5:F66,"Next")</f>
        <v/>
      </c>
    </row>
    <row r="11">
      <c r="A11" s="7" t="inlineStr">
        <is>
          <t>Phase</t>
        </is>
      </c>
      <c r="B11" s="7" t="inlineStr">
        <is>
          <t>Phase name</t>
        </is>
      </c>
      <c r="C11" s="7" t="inlineStr">
        <is>
          <t>Done</t>
        </is>
      </c>
      <c r="D11" s="7" t="inlineStr">
        <is>
          <t>Total</t>
        </is>
      </c>
      <c r="E11" s="7" t="inlineStr">
        <is>
          <t>Progress</t>
        </is>
      </c>
      <c r="F11" s="7" t="inlineStr">
        <is>
          <t>Status</t>
        </is>
      </c>
    </row>
    <row r="12">
      <c r="A12" s="8" t="n">
        <v>0</v>
      </c>
      <c r="B12" s="4" t="inlineStr">
        <is>
          <t>Foundation</t>
        </is>
      </c>
      <c r="C12" s="4">
        <f>COUNTIFS(Roadmap!$A$5:$A$66,A12,Roadmap!$E$5:$E$66,"☑")</f>
        <v/>
      </c>
      <c r="D12" s="4">
        <f>COUNTIF(Roadmap!$A$5:$A$66,A12)</f>
        <v/>
      </c>
      <c r="E12" s="9">
        <f>IF(D12=0,0,C12/D12)</f>
        <v/>
      </c>
      <c r="F12" s="4">
        <f>IF(C12=D12,"Finished",IF(C12=0,"Not started","In progress"))</f>
        <v/>
      </c>
    </row>
    <row r="13">
      <c r="A13" s="8" t="n">
        <v>1</v>
      </c>
      <c r="B13" s="4" t="inlineStr">
        <is>
          <t>Release pipeline</t>
        </is>
      </c>
      <c r="C13" s="4">
        <f>COUNTIFS(Roadmap!$A$5:$A$66,A13,Roadmap!$E$5:$E$66,"☑")</f>
        <v/>
      </c>
      <c r="D13" s="4">
        <f>COUNTIF(Roadmap!$A$5:$A$66,A13)</f>
        <v/>
      </c>
      <c r="E13" s="9">
        <f>IF(D13=0,0,C13/D13)</f>
        <v/>
      </c>
      <c r="F13" s="4">
        <f>IF(C13=D13,"Finished",IF(C13=0,"Not started","In progress"))</f>
        <v/>
      </c>
    </row>
    <row r="14">
      <c r="A14" s="8" t="n">
        <v>2</v>
      </c>
      <c r="B14" s="4" t="inlineStr">
        <is>
          <t>Schema + metadata</t>
        </is>
      </c>
      <c r="C14" s="4">
        <f>COUNTIFS(Roadmap!$A$5:$A$66,A14,Roadmap!$E$5:$E$66,"☑")</f>
        <v/>
      </c>
      <c r="D14" s="4">
        <f>COUNTIF(Roadmap!$A$5:$A$66,A14)</f>
        <v/>
      </c>
      <c r="E14" s="9">
        <f>IF(D14=0,0,C14/D14)</f>
        <v/>
      </c>
      <c r="F14" s="4">
        <f>IF(C14=D14,"Finished",IF(C14=0,"Not started","In progress"))</f>
        <v/>
      </c>
    </row>
    <row r="15">
      <c r="A15" s="8" t="n">
        <v>3</v>
      </c>
      <c r="B15" s="4" t="inlineStr">
        <is>
          <t>ZIP upload (admin)</t>
        </is>
      </c>
      <c r="C15" s="4">
        <f>COUNTIFS(Roadmap!$A$5:$A$66,A15,Roadmap!$E$5:$E$66,"☑")</f>
        <v/>
      </c>
      <c r="D15" s="4">
        <f>COUNTIF(Roadmap!$A$5:$A$66,A15)</f>
        <v/>
      </c>
      <c r="E15" s="9">
        <f>IF(D15=0,0,C15/D15)</f>
        <v/>
      </c>
      <c r="F15" s="4">
        <f>IF(C15=D15,"Finished",IF(C15=0,"Not started","In progress"))</f>
        <v/>
      </c>
    </row>
    <row r="16">
      <c r="A16" s="8" t="n">
        <v>4</v>
      </c>
      <c r="B16" s="4" t="inlineStr">
        <is>
          <t>Classification + review</t>
        </is>
      </c>
      <c r="C16" s="4">
        <f>COUNTIFS(Roadmap!$A$5:$A$66,A16,Roadmap!$E$5:$E$66,"☑")</f>
        <v/>
      </c>
      <c r="D16" s="4">
        <f>COUNTIF(Roadmap!$A$5:$A$66,A16)</f>
        <v/>
      </c>
      <c r="E16" s="9">
        <f>IF(D16=0,0,C16/D16)</f>
        <v/>
      </c>
      <c r="F16" s="4">
        <f>IF(C16=D16,"Finished",IF(C16=0,"Not started","In progress"))</f>
        <v/>
      </c>
    </row>
    <row r="17">
      <c r="A17" s="8" t="n">
        <v>5</v>
      </c>
      <c r="B17" s="4" t="inlineStr">
        <is>
          <t>Discovery</t>
        </is>
      </c>
      <c r="C17" s="4">
        <f>COUNTIFS(Roadmap!$A$5:$A$66,A17,Roadmap!$E$5:$E$66,"☑")</f>
        <v/>
      </c>
      <c r="D17" s="4">
        <f>COUNTIF(Roadmap!$A$5:$A$66,A17)</f>
        <v/>
      </c>
      <c r="E17" s="9">
        <f>IF(D17=0,0,C17/D17)</f>
        <v/>
      </c>
      <c r="F17" s="4">
        <f>IF(C17=D17,"Finished",IF(C17=0,"Not started","In progress"))</f>
        <v/>
      </c>
    </row>
    <row r="18">
      <c r="A18" s="8" t="n">
        <v>6</v>
      </c>
      <c r="B18" s="4" t="inlineStr">
        <is>
          <t>Player upgrades</t>
        </is>
      </c>
      <c r="C18" s="4">
        <f>COUNTIFS(Roadmap!$A$5:$A$66,A18,Roadmap!$E$5:$E$66,"☑")</f>
        <v/>
      </c>
      <c r="D18" s="4">
        <f>COUNTIF(Roadmap!$A$5:$A$66,A18)</f>
        <v/>
      </c>
      <c r="E18" s="9">
        <f>IF(D18=0,0,C18/D18)</f>
        <v/>
      </c>
      <c r="F18" s="4">
        <f>IF(C18=D18,"Finished",IF(C18=0,"Not started","In progress"))</f>
        <v/>
      </c>
    </row>
    <row r="19">
      <c r="A19" s="8" t="n">
        <v>7</v>
      </c>
      <c r="B19" s="4" t="inlineStr">
        <is>
          <t>Offline downloads</t>
        </is>
      </c>
      <c r="C19" s="4">
        <f>COUNTIFS(Roadmap!$A$5:$A$66,A19,Roadmap!$E$5:$E$66,"☑")</f>
        <v/>
      </c>
      <c r="D19" s="4">
        <f>COUNTIF(Roadmap!$A$5:$A$66,A19)</f>
        <v/>
      </c>
      <c r="E19" s="9">
        <f>IF(D19=0,0,C19/D19)</f>
        <v/>
      </c>
      <c r="F19" s="4">
        <f>IF(C19=D19,"Finished",IF(C19=0,"Not started","In progress"))</f>
        <v/>
      </c>
    </row>
    <row r="20">
      <c r="A20" s="8" t="n">
        <v>8</v>
      </c>
      <c r="B20" s="4" t="inlineStr">
        <is>
          <t>Offline mode</t>
        </is>
      </c>
      <c r="C20" s="4">
        <f>COUNTIFS(Roadmap!$A$5:$A$66,A20,Roadmap!$E$5:$E$66,"☑")</f>
        <v/>
      </c>
      <c r="D20" s="4">
        <f>COUNTIF(Roadmap!$A$5:$A$66,A20)</f>
        <v/>
      </c>
      <c r="E20" s="9">
        <f>IF(D20=0,0,C20/D20)</f>
        <v/>
      </c>
      <c r="F20" s="4">
        <f>IF(C20=D20,"Finished",IF(C20=0,"Not started","In progress"))</f>
        <v/>
      </c>
    </row>
    <row r="21">
      <c r="A21" s="8" t="n">
        <v>9</v>
      </c>
      <c r="B21" s="4" t="inlineStr">
        <is>
          <t>In-app updater</t>
        </is>
      </c>
      <c r="C21" s="4">
        <f>COUNTIFS(Roadmap!$A$5:$A$66,A21,Roadmap!$E$5:$E$66,"☑")</f>
        <v/>
      </c>
      <c r="D21" s="4">
        <f>COUNTIF(Roadmap!$A$5:$A$66,A21)</f>
        <v/>
      </c>
      <c r="E21" s="9">
        <f>IF(D21=0,0,C21/D21)</f>
        <v/>
      </c>
      <c r="F21" s="4">
        <f>IF(C21=D21,"Finished",IF(C21=0,"Not started","In progress"))</f>
        <v/>
      </c>
    </row>
    <row r="22">
      <c r="A22" s="8" t="n">
        <v>10</v>
      </c>
      <c r="B22" s="4" t="inlineStr">
        <is>
          <t>Admin deployment</t>
        </is>
      </c>
      <c r="C22" s="4">
        <f>COUNTIFS(Roadmap!$A$5:$A$66,A22,Roadmap!$E$5:$E$66,"☑")</f>
        <v/>
      </c>
      <c r="D22" s="4">
        <f>COUNTIF(Roadmap!$A$5:$A$66,A22)</f>
        <v/>
      </c>
      <c r="E22" s="9">
        <f>IF(D22=0,0,C22/D22)</f>
        <v/>
      </c>
      <c r="F22" s="4">
        <f>IF(C22=D22,"Finished",IF(C22=0,"Not started","In progress"))</f>
        <v/>
      </c>
    </row>
    <row r="23">
      <c r="A23" s="8" t="n">
        <v>11</v>
      </c>
      <c r="B23" s="4" t="inlineStr">
        <is>
          <t>Quality + security</t>
        </is>
      </c>
      <c r="C23" s="4">
        <f>COUNTIFS(Roadmap!$A$5:$A$66,A23,Roadmap!$E$5:$E$66,"☑")</f>
        <v/>
      </c>
      <c r="D23" s="4">
        <f>COUNTIF(Roadmap!$A$5:$A$66,A23)</f>
        <v/>
      </c>
      <c r="E23" s="9">
        <f>IF(D23=0,0,C23/D23)</f>
        <v/>
      </c>
      <c r="F23" s="4">
        <f>IF(C23=D23,"Finished",IF(C23=0,"Not started","In progress"))</f>
        <v/>
      </c>
    </row>
    <row r="24">
      <c r="A24" s="8" t="n">
        <v>12</v>
      </c>
      <c r="B24" s="4" t="inlineStr">
        <is>
          <t>Future ideas</t>
        </is>
      </c>
      <c r="C24" s="4">
        <f>COUNTIFS(Roadmap!$A$5:$A$66,A24,Roadmap!$E$5:$E$66,"☑")</f>
        <v/>
      </c>
      <c r="D24" s="4">
        <f>COUNTIF(Roadmap!$A$5:$A$66,A24)</f>
        <v/>
      </c>
      <c r="E24" s="9">
        <f>IF(D24=0,0,C24/D24)</f>
        <v/>
      </c>
      <c r="F24" s="4">
        <f>IF(C24=D24,"Finished",IF(C24=0,"Not started","In progress"))</f>
        <v/>
      </c>
    </row>
    <row r="26">
      <c r="A26" s="10" t="inlineStr">
        <is>
          <t>Current phase (first one not finished):</t>
        </is>
      </c>
      <c r="C26" s="11">
        <f>INDEX(B12:B24,MATCH(TRUE,INDEX(C12:C24&lt;D12:D24,0),0))</f>
        <v/>
      </c>
    </row>
    <row r="28">
      <c r="A28" s="12" t="inlineStr">
        <is>
          <t>Note: phases are numbered as in docs/PLAN.md (1-11), plus 0 = foundation and 12 = future ideas. Several phases run in parallel, so 'current phase' is just the earliest one with open tasks.</t>
        </is>
      </c>
    </row>
  </sheetData>
  <conditionalFormatting sqref="E12:E24">
    <cfRule type="dataBar" priority="1">
      <dataBar>
        <cfvo type="num" val="0"/>
        <cfvo type="num" val="1"/>
        <color rgb="004CAF50"/>
      </dataBar>
    </cfRule>
  </conditionalFormatting>
  <conditionalFormatting sqref="F12:F24">
    <cfRule type="expression" priority="2" dxfId="0">
      <formula>$F12="Finished"</formula>
    </cfRule>
    <cfRule type="expression" priority="3" dxfId="1">
      <formula>$F12="In progress"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70" customWidth="1" min="3" max="3"/>
    <col width="11" customWidth="1" min="4" max="4"/>
    <col width="8" customWidth="1" min="5" max="5"/>
    <col width="12" customWidth="1" min="6" max="6"/>
    <col width="50" customWidth="1" min="7" max="7"/>
  </cols>
  <sheetData>
    <row r="1">
      <c r="A1" s="1" t="inlineStr">
        <is>
          <t>Music app - roadmap and checklist</t>
        </is>
      </c>
    </row>
    <row r="2">
      <c r="A2" s="2" t="inlineStr">
        <is>
          <t>Click a cell in the Done column and pick ☑ (done) or ☐ (not done). Progress and the dashboard update by themselves.</t>
        </is>
      </c>
    </row>
    <row r="4">
      <c r="A4" s="7" t="inlineStr">
        <is>
          <t>Phase</t>
        </is>
      </c>
      <c r="B4" s="7" t="inlineStr">
        <is>
          <t>Phase name</t>
        </is>
      </c>
      <c r="C4" s="7" t="inlineStr">
        <is>
          <t>Task</t>
        </is>
      </c>
      <c r="D4" s="7" t="inlineStr">
        <is>
          <t>Area</t>
        </is>
      </c>
      <c r="E4" s="7" t="inlineStr">
        <is>
          <t>Done</t>
        </is>
      </c>
      <c r="F4" s="7" t="inlineStr">
        <is>
          <t>When</t>
        </is>
      </c>
      <c r="G4" s="7" t="inlineStr">
        <is>
          <t>Notes</t>
        </is>
      </c>
    </row>
    <row r="5">
      <c r="A5" s="13" t="n">
        <v>0</v>
      </c>
      <c r="B5" s="14" t="inlineStr">
        <is>
          <t>Foundation</t>
        </is>
      </c>
      <c r="C5" s="14" t="inlineStr">
        <is>
          <t>Express + TypeScript API with JWT login (15 min access / 30 day refresh)</t>
        </is>
      </c>
      <c r="D5" s="14" t="inlineStr">
        <is>
          <t>Backend</t>
        </is>
      </c>
      <c r="E5" s="15" t="inlineStr">
        <is>
          <t>☑</t>
        </is>
      </c>
      <c r="F5" s="14" t="inlineStr">
        <is>
          <t>Done</t>
        </is>
      </c>
      <c r="G5" s="14" t="inlineStr"/>
    </row>
    <row r="6">
      <c r="A6" s="13" t="n">
        <v>0</v>
      </c>
      <c r="B6" s="14" t="inlineStr">
        <is>
          <t>Foundation</t>
        </is>
      </c>
      <c r="C6" s="14" t="inlineStr">
        <is>
          <t>PostgreSQL on Aiven (users, songs, artists, albums, genres, playlists, likes, recently played)</t>
        </is>
      </c>
      <c r="D6" s="14" t="inlineStr">
        <is>
          <t>Backend</t>
        </is>
      </c>
      <c r="E6" s="15" t="inlineStr">
        <is>
          <t>☑</t>
        </is>
      </c>
      <c r="F6" s="14" t="inlineStr">
        <is>
          <t>Done</t>
        </is>
      </c>
      <c r="G6" s="14" t="inlineStr"/>
    </row>
    <row r="7">
      <c r="A7" s="13" t="n">
        <v>0</v>
      </c>
      <c r="B7" s="14" t="inlineStr">
        <is>
          <t>Foundation</t>
        </is>
      </c>
      <c r="C7" s="14" t="inlineStr">
        <is>
          <t>Cloudflare R2 storage at media.deploymentportal.in</t>
        </is>
      </c>
      <c r="D7" s="14" t="inlineStr">
        <is>
          <t>Backend</t>
        </is>
      </c>
      <c r="E7" s="15" t="inlineStr">
        <is>
          <t>☑</t>
        </is>
      </c>
      <c r="F7" s="14" t="inlineStr">
        <is>
          <t>Done</t>
        </is>
      </c>
      <c r="G7" s="14" t="inlineStr"/>
    </row>
    <row r="8">
      <c r="A8" s="13" t="n">
        <v>0</v>
      </c>
      <c r="B8" s="14" t="inlineStr">
        <is>
          <t>Foundation</t>
        </is>
      </c>
      <c r="C8" s="14" t="inlineStr">
        <is>
          <t>Backend deployed on Render free plan</t>
        </is>
      </c>
      <c r="D8" s="14" t="inlineStr">
        <is>
          <t>Backend</t>
        </is>
      </c>
      <c r="E8" s="15" t="inlineStr">
        <is>
          <t>☑</t>
        </is>
      </c>
      <c r="F8" s="14" t="inlineStr">
        <is>
          <t>Done</t>
        </is>
      </c>
      <c r="G8" s="14" t="inlineStr">
        <is>
          <t>Sleeps when idle; first request can take about a minute</t>
        </is>
      </c>
    </row>
    <row r="9">
      <c r="A9" s="13" t="n">
        <v>0</v>
      </c>
      <c r="B9" s="14" t="inlineStr">
        <is>
          <t>Foundation</t>
        </is>
      </c>
      <c r="C9" s="14" t="inlineStr">
        <is>
          <t>Website on Cloudflare Pages (music.deploymentportal.in)</t>
        </is>
      </c>
      <c r="D9" s="14" t="inlineStr">
        <is>
          <t>Web</t>
        </is>
      </c>
      <c r="E9" s="15" t="inlineStr">
        <is>
          <t>☑</t>
        </is>
      </c>
      <c r="F9" s="14" t="inlineStr">
        <is>
          <t>Done</t>
        </is>
      </c>
      <c r="G9" s="14" t="inlineStr"/>
    </row>
    <row r="10">
      <c r="A10" s="13" t="n">
        <v>0</v>
      </c>
      <c r="B10" s="14" t="inlineStr">
        <is>
          <t>Foundation</t>
        </is>
      </c>
      <c r="C10" s="14" t="inlineStr">
        <is>
          <t>Android app: player, playlists, likes, search, account page, logout</t>
        </is>
      </c>
      <c r="D10" s="14" t="inlineStr">
        <is>
          <t>Mobile</t>
        </is>
      </c>
      <c r="E10" s="15" t="inlineStr">
        <is>
          <t>☑</t>
        </is>
      </c>
      <c r="F10" s="14" t="inlineStr">
        <is>
          <t>Done</t>
        </is>
      </c>
      <c r="G10" s="14" t="inlineStr"/>
    </row>
    <row r="11">
      <c r="A11" s="13" t="n">
        <v>0</v>
      </c>
      <c r="B11" s="14" t="inlineStr">
        <is>
          <t>Foundation</t>
        </is>
      </c>
      <c r="C11" s="14" t="inlineStr">
        <is>
          <t>Google sign-in on the website</t>
        </is>
      </c>
      <c r="D11" s="14" t="inlineStr">
        <is>
          <t>Web</t>
        </is>
      </c>
      <c r="E11" s="15" t="inlineStr">
        <is>
          <t>☑</t>
        </is>
      </c>
      <c r="F11" s="14" t="inlineStr">
        <is>
          <t>Done</t>
        </is>
      </c>
      <c r="G11" s="14" t="inlineStr"/>
    </row>
    <row r="12">
      <c r="A12" s="13" t="n">
        <v>0</v>
      </c>
      <c r="B12" s="14" t="inlineStr">
        <is>
          <t>Foundation</t>
        </is>
      </c>
      <c r="C12" s="14" t="inlineStr">
        <is>
          <t>Google sign-in in the Android app</t>
        </is>
      </c>
      <c r="D12" s="14" t="inlineStr">
        <is>
          <t>Mobile</t>
        </is>
      </c>
      <c r="E12" s="15" t="inlineStr">
        <is>
          <t>☐</t>
        </is>
      </c>
      <c r="F12" s="14" t="inlineStr">
        <is>
          <t>Later</t>
        </is>
      </c>
      <c r="G12" s="14" t="inlineStr">
        <is>
          <t>Needs Android OAuth client + SHA-1 of the signing key (do after the private key)</t>
        </is>
      </c>
    </row>
    <row r="13">
      <c r="A13" s="13" t="n">
        <v>0</v>
      </c>
      <c r="B13" s="14" t="inlineStr">
        <is>
          <t>Foundation</t>
        </is>
      </c>
      <c r="C13" s="14" t="inlineStr">
        <is>
          <t>Loading spinners, skip 5 s, app icon, direct APK download button on the website</t>
        </is>
      </c>
      <c r="D13" s="14" t="inlineStr">
        <is>
          <t>All</t>
        </is>
      </c>
      <c r="E13" s="15" t="inlineStr">
        <is>
          <t>☑</t>
        </is>
      </c>
      <c r="F13" s="14" t="inlineStr">
        <is>
          <t>Done</t>
        </is>
      </c>
      <c r="G13" s="14" t="inlineStr"/>
    </row>
    <row r="14">
      <c r="A14" s="13" t="n">
        <v>1</v>
      </c>
      <c r="B14" s="14" t="inlineStr">
        <is>
          <t>Release pipeline</t>
        </is>
      </c>
      <c r="C14" s="14" t="inlineStr">
        <is>
          <t>GitHub Actions build on tag vX.Y.Z or manual run</t>
        </is>
      </c>
      <c r="D14" s="14" t="inlineStr">
        <is>
          <t>CI</t>
        </is>
      </c>
      <c r="E14" s="15" t="inlineStr">
        <is>
          <t>☑</t>
        </is>
      </c>
      <c r="F14" s="14" t="inlineStr">
        <is>
          <t>Done</t>
        </is>
      </c>
      <c r="G14" s="14" t="inlineStr"/>
    </row>
    <row r="15">
      <c r="A15" s="13" t="n">
        <v>1</v>
      </c>
      <c r="B15" s="14" t="inlineStr">
        <is>
          <t>Release pipeline</t>
        </is>
      </c>
      <c r="C15" s="14" t="inlineStr">
        <is>
          <t>Version taken from the tag (versionName / versionCode)</t>
        </is>
      </c>
      <c r="D15" s="14" t="inlineStr">
        <is>
          <t>CI</t>
        </is>
      </c>
      <c r="E15" s="15" t="inlineStr">
        <is>
          <t>☑</t>
        </is>
      </c>
      <c r="F15" s="14" t="inlineStr">
        <is>
          <t>Done</t>
        </is>
      </c>
      <c r="G15" s="14" t="inlineStr"/>
    </row>
    <row r="16">
      <c r="A16" s="13" t="n">
        <v>1</v>
      </c>
      <c r="B16" s="14" t="inlineStr">
        <is>
          <t>Release pipeline</t>
        </is>
      </c>
      <c r="C16" s="14" t="inlineStr">
        <is>
          <t>Emulator launch test with strict crash detection</t>
        </is>
      </c>
      <c r="D16" s="14" t="inlineStr">
        <is>
          <t>CI</t>
        </is>
      </c>
      <c r="E16" s="15" t="inlineStr">
        <is>
          <t>☑</t>
        </is>
      </c>
      <c r="F16" s="14" t="inlineStr">
        <is>
          <t>Done</t>
        </is>
      </c>
      <c r="G16" s="14" t="inlineStr"/>
    </row>
    <row r="17">
      <c r="A17" s="13" t="n">
        <v>1</v>
      </c>
      <c r="B17" s="14" t="inlineStr">
        <is>
          <t>Release pipeline</t>
        </is>
      </c>
      <c r="C17" s="14" t="inlineStr">
        <is>
          <t>Publish music.apk + version.json to the 'latest' release; keep last good APK on failure</t>
        </is>
      </c>
      <c r="D17" s="14" t="inlineStr">
        <is>
          <t>CI</t>
        </is>
      </c>
      <c r="E17" s="15" t="inlineStr">
        <is>
          <t>☑</t>
        </is>
      </c>
      <c r="F17" s="14" t="inlineStr">
        <is>
          <t>Done</t>
        </is>
      </c>
      <c r="G17" s="14" t="inlineStr"/>
    </row>
    <row r="18">
      <c r="A18" s="13" t="n">
        <v>1</v>
      </c>
      <c r="B18" s="14" t="inlineStr">
        <is>
          <t>Release pipeline</t>
        </is>
      </c>
      <c r="C18" s="14" t="inlineStr">
        <is>
          <t>Private release signing key stored in GitHub Secrets (replaces committed debug key)</t>
        </is>
      </c>
      <c r="D18" s="14" t="inlineStr">
        <is>
          <t>CI</t>
        </is>
      </c>
      <c r="E18" s="15" t="inlineStr">
        <is>
          <t>☐</t>
        </is>
      </c>
      <c r="F18" s="14" t="inlineStr">
        <is>
          <t>Needs you</t>
        </is>
      </c>
      <c r="G18" s="14" t="inlineStr">
        <is>
          <t>Decide before sharing the app widely - one reinstall needed (risk R1)</t>
        </is>
      </c>
    </row>
    <row r="19">
      <c r="A19" s="13" t="n">
        <v>2</v>
      </c>
      <c r="B19" s="14" t="inlineStr">
        <is>
          <t>Schema + metadata</t>
        </is>
      </c>
      <c r="C19" s="14" t="inlineStr">
        <is>
          <t>Movie fields on albums; song soundtrack fields; draft/published status</t>
        </is>
      </c>
      <c r="D19" s="14" t="inlineStr">
        <is>
          <t>Backend</t>
        </is>
      </c>
      <c r="E19" s="15" t="inlineStr">
        <is>
          <t>☑</t>
        </is>
      </c>
      <c r="F19" s="14" t="inlineStr">
        <is>
          <t>Done</t>
        </is>
      </c>
      <c r="G19" s="14" t="inlineStr"/>
    </row>
    <row r="20">
      <c r="A20" s="13" t="n">
        <v>2</v>
      </c>
      <c r="B20" s="14" t="inlineStr">
        <is>
          <t>Schema + metadata</t>
        </is>
      </c>
      <c r="C20" s="14" t="inlineStr">
        <is>
          <t>Labels (style / mood / genre), upload jobs and job items tables</t>
        </is>
      </c>
      <c r="D20" s="14" t="inlineStr">
        <is>
          <t>Backend</t>
        </is>
      </c>
      <c r="E20" s="15" t="inlineStr">
        <is>
          <t>☑</t>
        </is>
      </c>
      <c r="F20" s="14" t="inlineStr">
        <is>
          <t>Done</t>
        </is>
      </c>
      <c r="G20" s="14" t="inlineStr"/>
    </row>
    <row r="21">
      <c r="A21" s="13" t="n">
        <v>2</v>
      </c>
      <c r="B21" s="14" t="inlineStr">
        <is>
          <t>Schema + metadata</t>
        </is>
      </c>
      <c r="C21" s="14" t="inlineStr">
        <is>
          <t>Telugu reference workbook import (49 artists, 36 draft movies, genres)</t>
        </is>
      </c>
      <c r="D21" s="14" t="inlineStr">
        <is>
          <t>Backend</t>
        </is>
      </c>
      <c r="E21" s="15" t="inlineStr">
        <is>
          <t>☑</t>
        </is>
      </c>
      <c r="F21" s="14" t="inlineStr">
        <is>
          <t>Done</t>
        </is>
      </c>
      <c r="G21" s="14" t="inlineStr">
        <is>
          <t>npm run import:reference - safe to repeat</t>
        </is>
      </c>
    </row>
    <row r="22">
      <c r="A22" s="13" t="n">
        <v>3</v>
      </c>
      <c r="B22" s="14" t="inlineStr">
        <is>
          <t>ZIP upload (admin)</t>
        </is>
      </c>
      <c r="C22" s="14" t="inlineStr">
        <is>
          <t>Safe streaming ZIP upload (size, count, extension, path and magic-byte checks)</t>
        </is>
      </c>
      <c r="D22" s="14" t="inlineStr">
        <is>
          <t>Backend</t>
        </is>
      </c>
      <c r="E22" s="15" t="inlineStr">
        <is>
          <t>☑</t>
        </is>
      </c>
      <c r="F22" s="14" t="inlineStr">
        <is>
          <t>Done</t>
        </is>
      </c>
      <c r="G22" s="14" t="inlineStr"/>
    </row>
    <row r="23">
      <c r="A23" s="13" t="n">
        <v>3</v>
      </c>
      <c r="B23" s="14" t="inlineStr">
        <is>
          <t>ZIP upload (admin)</t>
        </is>
      </c>
      <c r="C23" s="14" t="inlineStr">
        <is>
          <t>Movie-name detection from typed name or ZIP name; duplicate and vague-name checks</t>
        </is>
      </c>
      <c r="D23" s="14" t="inlineStr">
        <is>
          <t>Backend</t>
        </is>
      </c>
      <c r="E23" s="15" t="inlineStr">
        <is>
          <t>☑</t>
        </is>
      </c>
      <c r="F23" s="14" t="inlineStr">
        <is>
          <t>Done</t>
        </is>
      </c>
      <c r="G23" s="14" t="inlineStr"/>
    </row>
    <row r="24">
      <c r="A24" s="13" t="n">
        <v>3</v>
      </c>
      <c r="B24" s="14" t="inlineStr">
        <is>
          <t>ZIP upload (admin)</t>
        </is>
      </c>
      <c r="C24" s="14" t="inlineStr">
        <is>
          <t>Rights confirmation required; songs created as drafts; per-file job progress</t>
        </is>
      </c>
      <c r="D24" s="14" t="inlineStr">
        <is>
          <t>Backend</t>
        </is>
      </c>
      <c r="E24" s="15" t="inlineStr">
        <is>
          <t>☑</t>
        </is>
      </c>
      <c r="F24" s="14" t="inlineStr">
        <is>
          <t>Done</t>
        </is>
      </c>
      <c r="G24" s="14" t="inlineStr"/>
    </row>
    <row r="25">
      <c r="A25" s="13" t="n">
        <v>3</v>
      </c>
      <c r="B25" s="14" t="inlineStr">
        <is>
          <t>ZIP upload (admin)</t>
        </is>
      </c>
      <c r="C25" s="14" t="inlineStr">
        <is>
          <t>Admin upload screen with name confirmation flow</t>
        </is>
      </c>
      <c r="D25" s="14" t="inlineStr">
        <is>
          <t>Admin</t>
        </is>
      </c>
      <c r="E25" s="15" t="inlineStr">
        <is>
          <t>☑</t>
        </is>
      </c>
      <c r="F25" s="14" t="inlineStr">
        <is>
          <t>Done</t>
        </is>
      </c>
      <c r="G25" s="14" t="inlineStr"/>
    </row>
    <row r="26">
      <c r="A26" s="13" t="n">
        <v>4</v>
      </c>
      <c r="B26" s="14" t="inlineStr">
        <is>
          <t>Classification + review</t>
        </is>
      </c>
      <c r="C26" s="14" t="inlineStr">
        <is>
          <t>Audio analysis (tempo, loudness, brightness, beat strength) with confidence scores</t>
        </is>
      </c>
      <c r="D26" s="14" t="inlineStr">
        <is>
          <t>Backend</t>
        </is>
      </c>
      <c r="E26" s="15" t="inlineStr">
        <is>
          <t>☑</t>
        </is>
      </c>
      <c r="F26" s="14" t="inlineStr">
        <is>
          <t>Done</t>
        </is>
      </c>
      <c r="G26" s="14" t="inlineStr">
        <is>
          <t>Rule-based heuristic-v1, not a trained model</t>
        </is>
      </c>
    </row>
    <row r="27">
      <c r="A27" s="13" t="n">
        <v>4</v>
      </c>
      <c r="B27" s="14" t="inlineStr">
        <is>
          <t>Classification + review</t>
        </is>
      </c>
      <c r="C27" s="14" t="inlineStr">
        <is>
          <t>Admin review screen: approve / reject / edit / re-run, bulk approve</t>
        </is>
      </c>
      <c r="D27" s="14" t="inlineStr">
        <is>
          <t>Admin</t>
        </is>
      </c>
      <c r="E27" s="15" t="inlineStr">
        <is>
          <t>☑</t>
        </is>
      </c>
      <c r="F27" s="14" t="inlineStr">
        <is>
          <t>Done</t>
        </is>
      </c>
      <c r="G27" s="14" t="inlineStr"/>
    </row>
    <row r="28">
      <c r="A28" s="13" t="n">
        <v>4</v>
      </c>
      <c r="B28" s="14" t="inlineStr">
        <is>
          <t>Classification + review</t>
        </is>
      </c>
      <c r="C28" s="14" t="inlineStr">
        <is>
          <t>Smart search using approved labels only (AND across labels and languages)</t>
        </is>
      </c>
      <c r="D28" s="14" t="inlineStr">
        <is>
          <t>Backend</t>
        </is>
      </c>
      <c r="E28" s="15" t="inlineStr">
        <is>
          <t>☑</t>
        </is>
      </c>
      <c r="F28" s="14" t="inlineStr">
        <is>
          <t>Done</t>
        </is>
      </c>
      <c r="G28" s="14" t="inlineStr"/>
    </row>
    <row r="29">
      <c r="A29" s="13" t="n">
        <v>4</v>
      </c>
      <c r="B29" s="14" t="inlineStr">
        <is>
          <t>Classification + review</t>
        </is>
      </c>
      <c r="C29" s="14" t="inlineStr">
        <is>
          <t>Optional external classifier service (CLASSIFIER_URL)</t>
        </is>
      </c>
      <c r="D29" s="14" t="inlineStr">
        <is>
          <t>Backend</t>
        </is>
      </c>
      <c r="E29" s="15" t="inlineStr">
        <is>
          <t>☑</t>
        </is>
      </c>
      <c r="F29" s="14" t="inlineStr">
        <is>
          <t>Done</t>
        </is>
      </c>
      <c r="G29" s="14" t="inlineStr"/>
    </row>
    <row r="30">
      <c r="A30" s="13" t="n">
        <v>4</v>
      </c>
      <c r="B30" s="14" t="inlineStr">
        <is>
          <t>Classification + review</t>
        </is>
      </c>
      <c r="C30" s="14" t="inlineStr">
        <is>
          <t>Train a real model on licensed, labelled audio (ml/train.py)</t>
        </is>
      </c>
      <c r="D30" s="14" t="inlineStr">
        <is>
          <t>ML</t>
        </is>
      </c>
      <c r="E30" s="15" t="inlineStr">
        <is>
          <t>☐</t>
        </is>
      </c>
      <c r="F30" s="14" t="inlineStr">
        <is>
          <t>Optional</t>
        </is>
      </c>
      <c r="G30" s="14" t="inlineStr">
        <is>
          <t>Needs a labelled dataset we do not have</t>
        </is>
      </c>
    </row>
    <row r="31">
      <c r="A31" s="13" t="n">
        <v>5</v>
      </c>
      <c r="B31" s="14" t="inlineStr">
        <is>
          <t>Discovery</t>
        </is>
      </c>
      <c r="C31" s="14" t="inlineStr">
        <is>
          <t>Jamendo (Creative Commons) search and import to R2</t>
        </is>
      </c>
      <c r="D31" s="14" t="inlineStr">
        <is>
          <t>Backend</t>
        </is>
      </c>
      <c r="E31" s="15" t="inlineStr">
        <is>
          <t>☑</t>
        </is>
      </c>
      <c r="F31" s="14" t="inlineStr">
        <is>
          <t>Done</t>
        </is>
      </c>
      <c r="G31" s="14" t="inlineStr"/>
    </row>
    <row r="32">
      <c r="A32" s="13" t="n">
        <v>5</v>
      </c>
      <c r="B32" s="14" t="inlineStr">
        <is>
          <t>Discovery</t>
        </is>
      </c>
      <c r="C32" s="14" t="inlineStr">
        <is>
          <t>YouTube search, play-only in the official embedded player</t>
        </is>
      </c>
      <c r="D32" s="14" t="inlineStr">
        <is>
          <t>All</t>
        </is>
      </c>
      <c r="E32" s="15" t="inlineStr">
        <is>
          <t>☑</t>
        </is>
      </c>
      <c r="F32" s="14" t="inlineStr">
        <is>
          <t>Done</t>
        </is>
      </c>
      <c r="G32" s="14" t="inlineStr"/>
    </row>
    <row r="33">
      <c r="A33" s="13" t="n">
        <v>5</v>
      </c>
      <c r="B33" s="14" t="inlineStr">
        <is>
          <t>Discovery</t>
        </is>
      </c>
      <c r="C33" s="14" t="inlineStr">
        <is>
          <t>Trending + popular Telugu videos on the website</t>
        </is>
      </c>
      <c r="D33" s="14" t="inlineStr">
        <is>
          <t>Web</t>
        </is>
      </c>
      <c r="E33" s="15" t="inlineStr">
        <is>
          <t>☑</t>
        </is>
      </c>
      <c r="F33" s="14" t="inlineStr">
        <is>
          <t>Done</t>
        </is>
      </c>
      <c r="G33" s="14" t="inlineStr"/>
    </row>
    <row r="34">
      <c r="A34" s="13" t="n">
        <v>5</v>
      </c>
      <c r="B34" s="14" t="inlineStr">
        <is>
          <t>Discovery</t>
        </is>
      </c>
      <c r="C34" s="14" t="inlineStr">
        <is>
          <t>Trending + popular Telugu videos in the Android app</t>
        </is>
      </c>
      <c r="D34" s="14" t="inlineStr">
        <is>
          <t>Mobile</t>
        </is>
      </c>
      <c r="E34" s="15" t="inlineStr">
        <is>
          <t>☑</t>
        </is>
      </c>
      <c r="F34" s="14" t="inlineStr">
        <is>
          <t>Done</t>
        </is>
      </c>
      <c r="G34" s="14" t="inlineStr">
        <is>
          <t>Published in v0.2.2 / v0.2.3; not yet checked on a phone</t>
        </is>
      </c>
    </row>
    <row r="35">
      <c r="A35" s="13" t="n">
        <v>5</v>
      </c>
      <c r="B35" s="14" t="inlineStr">
        <is>
          <t>Discovery</t>
        </is>
      </c>
      <c r="C35" s="14" t="inlineStr">
        <is>
          <t>Movie pages, label browser and combined search on the website</t>
        </is>
      </c>
      <c r="D35" s="14" t="inlineStr">
        <is>
          <t>Web</t>
        </is>
      </c>
      <c r="E35" s="15" t="inlineStr">
        <is>
          <t>☑</t>
        </is>
      </c>
      <c r="F35" s="14" t="inlineStr">
        <is>
          <t>Done</t>
        </is>
      </c>
      <c r="G35" s="14" t="inlineStr"/>
    </row>
    <row r="36">
      <c r="A36" s="13" t="n">
        <v>5</v>
      </c>
      <c r="B36" s="14" t="inlineStr">
        <is>
          <t>Discovery</t>
        </is>
      </c>
      <c r="C36" s="14" t="inlineStr">
        <is>
          <t>Android: movie list and movie page screens</t>
        </is>
      </c>
      <c r="D36" s="14" t="inlineStr">
        <is>
          <t>Mobile</t>
        </is>
      </c>
      <c r="E36" s="15" t="inlineStr">
        <is>
          <t>☐</t>
        </is>
      </c>
      <c r="F36" s="14" t="inlineStr">
        <is>
          <t>Next</t>
        </is>
      </c>
      <c r="G36" s="14" t="inlineStr"/>
    </row>
    <row r="37">
      <c r="A37" s="13" t="n">
        <v>5</v>
      </c>
      <c r="B37" s="14" t="inlineStr">
        <is>
          <t>Discovery</t>
        </is>
      </c>
      <c r="C37" s="14" t="inlineStr">
        <is>
          <t>Android: label browser (Melody + Romantic etc.) and new search</t>
        </is>
      </c>
      <c r="D37" s="14" t="inlineStr">
        <is>
          <t>Mobile</t>
        </is>
      </c>
      <c r="E37" s="15" t="inlineStr">
        <is>
          <t>☐</t>
        </is>
      </c>
      <c r="F37" s="14" t="inlineStr">
        <is>
          <t>Next</t>
        </is>
      </c>
      <c r="G37" s="14" t="inlineStr"/>
    </row>
    <row r="38">
      <c r="A38" s="13" t="n">
        <v>5</v>
      </c>
      <c r="B38" s="14" t="inlineStr">
        <is>
          <t>Discovery</t>
        </is>
      </c>
      <c r="C38" s="14" t="inlineStr">
        <is>
          <t>Show workbook tags / example singers on movie pages</t>
        </is>
      </c>
      <c r="D38" s="14" t="inlineStr">
        <is>
          <t>Web</t>
        </is>
      </c>
      <c r="E38" s="15" t="inlineStr">
        <is>
          <t>☐</t>
        </is>
      </c>
      <c r="F38" s="14" t="inlineStr">
        <is>
          <t>Later</t>
        </is>
      </c>
      <c r="G38" s="14" t="inlineStr"/>
    </row>
    <row r="39">
      <c r="A39" s="13" t="n">
        <v>5</v>
      </c>
      <c r="B39" s="14" t="inlineStr">
        <is>
          <t>Discovery</t>
        </is>
      </c>
      <c r="C39" s="14" t="inlineStr">
        <is>
          <t>Archive.org / Spotify embed as extra legal sources</t>
        </is>
      </c>
      <c r="D39" s="14" t="inlineStr">
        <is>
          <t>Backend</t>
        </is>
      </c>
      <c r="E39" s="15" t="inlineStr">
        <is>
          <t>☐</t>
        </is>
      </c>
      <c r="F39" s="14" t="inlineStr">
        <is>
          <t>Optional</t>
        </is>
      </c>
      <c r="G39" s="14" t="inlineStr"/>
    </row>
    <row r="40">
      <c r="A40" s="13" t="n">
        <v>6</v>
      </c>
      <c r="B40" s="14" t="inlineStr">
        <is>
          <t>Player upgrades</t>
        </is>
      </c>
      <c r="C40" s="14" t="inlineStr">
        <is>
          <t>Repeat one / all and shuffle</t>
        </is>
      </c>
      <c r="D40" s="14" t="inlineStr">
        <is>
          <t>Mobile</t>
        </is>
      </c>
      <c r="E40" s="15" t="inlineStr">
        <is>
          <t>☐</t>
        </is>
      </c>
      <c r="F40" s="14" t="inlineStr">
        <is>
          <t>Later</t>
        </is>
      </c>
      <c r="G40" s="14" t="inlineStr"/>
    </row>
    <row r="41">
      <c r="A41" s="13" t="n">
        <v>6</v>
      </c>
      <c r="B41" s="14" t="inlineStr">
        <is>
          <t>Player upgrades</t>
        </is>
      </c>
      <c r="C41" s="14" t="inlineStr">
        <is>
          <t>Queue screen (view, reorder, remove)</t>
        </is>
      </c>
      <c r="D41" s="14" t="inlineStr">
        <is>
          <t>Mobile</t>
        </is>
      </c>
      <c r="E41" s="15" t="inlineStr">
        <is>
          <t>☐</t>
        </is>
      </c>
      <c r="F41" s="14" t="inlineStr">
        <is>
          <t>Later</t>
        </is>
      </c>
      <c r="G41" s="14" t="inlineStr"/>
    </row>
    <row r="42">
      <c r="A42" s="13" t="n">
        <v>6</v>
      </c>
      <c r="B42" s="14" t="inlineStr">
        <is>
          <t>Player upgrades</t>
        </is>
      </c>
      <c r="C42" s="14" t="inlineStr">
        <is>
          <t>Playback error recovery and retry</t>
        </is>
      </c>
      <c r="D42" s="14" t="inlineStr">
        <is>
          <t>Mobile</t>
        </is>
      </c>
      <c r="E42" s="15" t="inlineStr">
        <is>
          <t>☐</t>
        </is>
      </c>
      <c r="F42" s="14" t="inlineStr">
        <is>
          <t>Later</t>
        </is>
      </c>
      <c r="G42" s="14" t="inlineStr"/>
    </row>
    <row r="43">
      <c r="A43" s="13" t="n">
        <v>6</v>
      </c>
      <c r="B43" s="14" t="inlineStr">
        <is>
          <t>Player upgrades</t>
        </is>
      </c>
      <c r="C43" s="14" t="inlineStr">
        <is>
          <t>Sleep timer</t>
        </is>
      </c>
      <c r="D43" s="14" t="inlineStr">
        <is>
          <t>Mobile</t>
        </is>
      </c>
      <c r="E43" s="15" t="inlineStr">
        <is>
          <t>☐</t>
        </is>
      </c>
      <c r="F43" s="14" t="inlineStr">
        <is>
          <t>Optional</t>
        </is>
      </c>
      <c r="G43" s="14" t="inlineStr"/>
    </row>
    <row r="44">
      <c r="A44" s="13" t="n">
        <v>7</v>
      </c>
      <c r="B44" s="14" t="inlineStr">
        <is>
          <t>Offline downloads</t>
        </is>
      </c>
      <c r="C44" s="14" t="inlineStr">
        <is>
          <t>Choose and add a native file-download library</t>
        </is>
      </c>
      <c r="D44" s="14" t="inlineStr">
        <is>
          <t>Mobile</t>
        </is>
      </c>
      <c r="E44" s="15" t="inlineStr">
        <is>
          <t>☐</t>
        </is>
      </c>
      <c r="F44" s="14" t="inlineStr">
        <is>
          <t>Later</t>
        </is>
      </c>
      <c r="G44" s="14" t="inlineStr">
        <is>
          <t>Test on a real phone (risk R3)</t>
        </is>
      </c>
    </row>
    <row r="45">
      <c r="A45" s="13" t="n">
        <v>7</v>
      </c>
      <c r="B45" s="14" t="inlineStr">
        <is>
          <t>Offline downloads</t>
        </is>
      </c>
      <c r="C45" s="14" t="inlineStr">
        <is>
          <t>Download button per song (only songs marked downloadable)</t>
        </is>
      </c>
      <c r="D45" s="14" t="inlineStr">
        <is>
          <t>Mobile</t>
        </is>
      </c>
      <c r="E45" s="15" t="inlineStr">
        <is>
          <t>☐</t>
        </is>
      </c>
      <c r="F45" s="14" t="inlineStr">
        <is>
          <t>Later</t>
        </is>
      </c>
      <c r="G45" s="14" t="inlineStr"/>
    </row>
    <row r="46">
      <c r="A46" s="13" t="n">
        <v>7</v>
      </c>
      <c r="B46" s="14" t="inlineStr">
        <is>
          <t>Offline downloads</t>
        </is>
      </c>
      <c r="C46" s="14" t="inlineStr">
        <is>
          <t>Downloads list, storage use, delete download</t>
        </is>
      </c>
      <c r="D46" s="14" t="inlineStr">
        <is>
          <t>Mobile</t>
        </is>
      </c>
      <c r="E46" s="15" t="inlineStr">
        <is>
          <t>☐</t>
        </is>
      </c>
      <c r="F46" s="14" t="inlineStr">
        <is>
          <t>Later</t>
        </is>
      </c>
      <c r="G46" s="14" t="inlineStr"/>
    </row>
    <row r="47">
      <c r="A47" s="13" t="n">
        <v>7</v>
      </c>
      <c r="B47" s="14" t="inlineStr">
        <is>
          <t>Offline downloads</t>
        </is>
      </c>
      <c r="C47" s="14" t="inlineStr">
        <is>
          <t>Play downloaded file without internet</t>
        </is>
      </c>
      <c r="D47" s="14" t="inlineStr">
        <is>
          <t>Mobile</t>
        </is>
      </c>
      <c r="E47" s="15" t="inlineStr">
        <is>
          <t>☐</t>
        </is>
      </c>
      <c r="F47" s="14" t="inlineStr">
        <is>
          <t>Later</t>
        </is>
      </c>
      <c r="G47" s="14" t="inlineStr"/>
    </row>
    <row r="48">
      <c r="A48" s="13" t="n">
        <v>8</v>
      </c>
      <c r="B48" s="14" t="inlineStr">
        <is>
          <t>Offline mode</t>
        </is>
      </c>
      <c r="C48" s="14" t="inlineStr">
        <is>
          <t>Network status banner</t>
        </is>
      </c>
      <c r="D48" s="14" t="inlineStr">
        <is>
          <t>Mobile</t>
        </is>
      </c>
      <c r="E48" s="15" t="inlineStr">
        <is>
          <t>☐</t>
        </is>
      </c>
      <c r="F48" s="14" t="inlineStr">
        <is>
          <t>Later</t>
        </is>
      </c>
      <c r="G48" s="14" t="inlineStr"/>
    </row>
    <row r="49">
      <c r="A49" s="13" t="n">
        <v>8</v>
      </c>
      <c r="B49" s="14" t="inlineStr">
        <is>
          <t>Offline mode</t>
        </is>
      </c>
      <c r="C49" s="14" t="inlineStr">
        <is>
          <t>Downloaded-only view when offline</t>
        </is>
      </c>
      <c r="D49" s="14" t="inlineStr">
        <is>
          <t>Mobile</t>
        </is>
      </c>
      <c r="E49" s="15" t="inlineStr">
        <is>
          <t>☐</t>
        </is>
      </c>
      <c r="F49" s="14" t="inlineStr">
        <is>
          <t>Later</t>
        </is>
      </c>
      <c r="G49" s="14" t="inlineStr"/>
    </row>
    <row r="50">
      <c r="A50" s="13" t="n">
        <v>9</v>
      </c>
      <c r="B50" s="14" t="inlineStr">
        <is>
          <t>In-app updater</t>
        </is>
      </c>
      <c r="C50" s="14" t="inlineStr">
        <is>
          <t>Native module: read installed version, open system installer</t>
        </is>
      </c>
      <c r="D50" s="14" t="inlineStr">
        <is>
          <t>Mobile</t>
        </is>
      </c>
      <c r="E50" s="15" t="inlineStr">
        <is>
          <t>☐</t>
        </is>
      </c>
      <c r="F50" s="14" t="inlineStr">
        <is>
          <t>Later</t>
        </is>
      </c>
      <c r="G50" s="14" t="inlineStr">
        <is>
          <t>Android always shows its own confirmation (risk R4)</t>
        </is>
      </c>
    </row>
    <row r="51">
      <c r="A51" s="13" t="n">
        <v>9</v>
      </c>
      <c r="B51" s="14" t="inlineStr">
        <is>
          <t>In-app updater</t>
        </is>
      </c>
      <c r="C51" s="14" t="inlineStr">
        <is>
          <t>Check version.json, show 'update available' (mandatory flag)</t>
        </is>
      </c>
      <c r="D51" s="14" t="inlineStr">
        <is>
          <t>Mobile</t>
        </is>
      </c>
      <c r="E51" s="15" t="inlineStr">
        <is>
          <t>☐</t>
        </is>
      </c>
      <c r="F51" s="14" t="inlineStr">
        <is>
          <t>Later</t>
        </is>
      </c>
      <c r="G51" s="14" t="inlineStr"/>
    </row>
    <row r="52">
      <c r="A52" s="13" t="n">
        <v>9</v>
      </c>
      <c r="B52" s="14" t="inlineStr">
        <is>
          <t>In-app updater</t>
        </is>
      </c>
      <c r="C52" s="14" t="inlineStr">
        <is>
          <t>Download APK with progress, verify SHA-256, then install</t>
        </is>
      </c>
      <c r="D52" s="14" t="inlineStr">
        <is>
          <t>Mobile</t>
        </is>
      </c>
      <c r="E52" s="15" t="inlineStr">
        <is>
          <t>☐</t>
        </is>
      </c>
      <c r="F52" s="14" t="inlineStr">
        <is>
          <t>Later</t>
        </is>
      </c>
      <c r="G52" s="14" t="inlineStr"/>
    </row>
    <row r="53">
      <c r="A53" s="13" t="n">
        <v>10</v>
      </c>
      <c r="B53" s="14" t="inlineStr">
        <is>
          <t>Admin deployment</t>
        </is>
      </c>
      <c r="C53" s="14" t="inlineStr">
        <is>
          <t>Admin panel built and working locally</t>
        </is>
      </c>
      <c r="D53" s="14" t="inlineStr">
        <is>
          <t>Admin</t>
        </is>
      </c>
      <c r="E53" s="15" t="inlineStr">
        <is>
          <t>☑</t>
        </is>
      </c>
      <c r="F53" s="14" t="inlineStr">
        <is>
          <t>Done</t>
        </is>
      </c>
      <c r="G53" s="14" t="inlineStr"/>
    </row>
    <row r="54">
      <c r="A54" s="13" t="n">
        <v>10</v>
      </c>
      <c r="B54" s="14" t="inlineStr">
        <is>
          <t>Admin deployment</t>
        </is>
      </c>
      <c r="C54" s="14" t="inlineStr">
        <is>
          <t>Deploy admin site to Cloudflare Pages (root admin, NODE_VERSION=22, admin.deploymentportal.in)</t>
        </is>
      </c>
      <c r="D54" s="14" t="inlineStr">
        <is>
          <t>Admin</t>
        </is>
      </c>
      <c r="E54" s="15" t="inlineStr">
        <is>
          <t>☐</t>
        </is>
      </c>
      <c r="F54" s="14" t="inlineStr">
        <is>
          <t>Needs you</t>
        </is>
      </c>
      <c r="G54" s="14" t="inlineStr"/>
    </row>
    <row r="55">
      <c r="A55" s="13" t="n">
        <v>10</v>
      </c>
      <c r="B55" s="14" t="inlineStr">
        <is>
          <t>Admin deployment</t>
        </is>
      </c>
      <c r="C55" s="14" t="inlineStr">
        <is>
          <t>Admin sign-in restricted to admin accounts; rotate the admin password</t>
        </is>
      </c>
      <c r="D55" s="14" t="inlineStr">
        <is>
          <t>Admin</t>
        </is>
      </c>
      <c r="E55" s="15" t="inlineStr">
        <is>
          <t>☐</t>
        </is>
      </c>
      <c r="F55" s="14" t="inlineStr">
        <is>
          <t>Needs you</t>
        </is>
      </c>
      <c r="G55" s="14" t="inlineStr"/>
    </row>
    <row r="56">
      <c r="A56" s="13" t="n">
        <v>11</v>
      </c>
      <c r="B56" s="14" t="inlineStr">
        <is>
          <t>Quality + security</t>
        </is>
      </c>
      <c r="C56" s="14" t="inlineStr">
        <is>
          <t>Backend tests (49 passing)</t>
        </is>
      </c>
      <c r="D56" s="14" t="inlineStr">
        <is>
          <t>Backend</t>
        </is>
      </c>
      <c r="E56" s="15" t="inlineStr">
        <is>
          <t>☑</t>
        </is>
      </c>
      <c r="F56" s="14" t="inlineStr">
        <is>
          <t>Done</t>
        </is>
      </c>
      <c r="G56" s="14" t="inlineStr"/>
    </row>
    <row r="57">
      <c r="A57" s="13" t="n">
        <v>11</v>
      </c>
      <c r="B57" s="14" t="inlineStr">
        <is>
          <t>Quality + security</t>
        </is>
      </c>
      <c r="C57" s="14" t="inlineStr">
        <is>
          <t>Docs: PLAN, MUSIC_ADMIN, CLASSIFICATION, PROJECT_OVERVIEW</t>
        </is>
      </c>
      <c r="D57" s="14" t="inlineStr">
        <is>
          <t>Docs</t>
        </is>
      </c>
      <c r="E57" s="15" t="inlineStr">
        <is>
          <t>☑</t>
        </is>
      </c>
      <c r="F57" s="14" t="inlineStr">
        <is>
          <t>Done</t>
        </is>
      </c>
      <c r="G57" s="14" t="inlineStr"/>
    </row>
    <row r="58">
      <c r="A58" s="13" t="n">
        <v>11</v>
      </c>
      <c r="B58" s="14" t="inlineStr">
        <is>
          <t>Quality + security</t>
        </is>
      </c>
      <c r="C58" s="14" t="inlineStr">
        <is>
          <t>Run backend tests and type checks automatically on every push</t>
        </is>
      </c>
      <c r="D58" s="14" t="inlineStr">
        <is>
          <t>CI</t>
        </is>
      </c>
      <c r="E58" s="15" t="inlineStr">
        <is>
          <t>☐</t>
        </is>
      </c>
      <c r="F58" s="14" t="inlineStr">
        <is>
          <t>Next</t>
        </is>
      </c>
      <c r="G58" s="14" t="inlineStr"/>
    </row>
    <row r="59">
      <c r="A59" s="13" t="n">
        <v>11</v>
      </c>
      <c r="B59" s="14" t="inlineStr">
        <is>
          <t>Quality + security</t>
        </is>
      </c>
      <c r="C59" s="14" t="inlineStr">
        <is>
          <t>Mobile and web tests</t>
        </is>
      </c>
      <c r="D59" s="14" t="inlineStr">
        <is>
          <t>Mobile</t>
        </is>
      </c>
      <c r="E59" s="15" t="inlineStr">
        <is>
          <t>☐</t>
        </is>
      </c>
      <c r="F59" s="14" t="inlineStr">
        <is>
          <t>Later</t>
        </is>
      </c>
      <c r="G59" s="14" t="inlineStr"/>
    </row>
    <row r="60">
      <c r="A60" s="13" t="n">
        <v>11</v>
      </c>
      <c r="B60" s="14" t="inlineStr">
        <is>
          <t>Quality + security</t>
        </is>
      </c>
      <c r="C60" s="14" t="inlineStr">
        <is>
          <t>Rotate secrets that were shared in chat (Aiven, admin, Google, Jamendo keys)</t>
        </is>
      </c>
      <c r="D60" s="14" t="inlineStr">
        <is>
          <t>Ops</t>
        </is>
      </c>
      <c r="E60" s="15" t="inlineStr">
        <is>
          <t>☐</t>
        </is>
      </c>
      <c r="F60" s="14" t="inlineStr">
        <is>
          <t>Needs you</t>
        </is>
      </c>
      <c r="G60" s="14" t="inlineStr">
        <is>
          <t>Keep secrets only in Render / GitHub settings</t>
        </is>
      </c>
    </row>
    <row r="61">
      <c r="A61" s="13" t="n">
        <v>11</v>
      </c>
      <c r="B61" s="14" t="inlineStr">
        <is>
          <t>Quality + security</t>
        </is>
      </c>
      <c r="C61" s="14" t="inlineStr">
        <is>
          <t>Keep-alive ping or paid plan so Render does not sleep</t>
        </is>
      </c>
      <c r="D61" s="14" t="inlineStr">
        <is>
          <t>Ops</t>
        </is>
      </c>
      <c r="E61" s="15" t="inlineStr">
        <is>
          <t>☐</t>
        </is>
      </c>
      <c r="F61" s="14" t="inlineStr">
        <is>
          <t>Optional</t>
        </is>
      </c>
      <c r="G61" s="14" t="inlineStr"/>
    </row>
    <row r="62">
      <c r="A62" s="13" t="n">
        <v>11</v>
      </c>
      <c r="B62" s="14" t="inlineStr">
        <is>
          <t>Quality + security</t>
        </is>
      </c>
      <c r="C62" s="14" t="inlineStr">
        <is>
          <t>Error monitoring and uptime alerts</t>
        </is>
      </c>
      <c r="D62" s="14" t="inlineStr">
        <is>
          <t>Ops</t>
        </is>
      </c>
      <c r="E62" s="15" t="inlineStr">
        <is>
          <t>☐</t>
        </is>
      </c>
      <c r="F62" s="14" t="inlineStr">
        <is>
          <t>Optional</t>
        </is>
      </c>
      <c r="G62" s="14" t="inlineStr"/>
    </row>
    <row r="63">
      <c r="A63" s="13" t="n">
        <v>12</v>
      </c>
      <c r="B63" s="14" t="inlineStr">
        <is>
          <t>Future ideas</t>
        </is>
      </c>
      <c r="C63" s="14" t="inlineStr">
        <is>
          <t>Separate App Locker app (fingerprint + PIN, Accessibility Service)</t>
        </is>
      </c>
      <c r="D63" s="14" t="inlineStr">
        <is>
          <t>New app</t>
        </is>
      </c>
      <c r="E63" s="15" t="inlineStr">
        <is>
          <t>☐</t>
        </is>
      </c>
      <c r="F63" s="14" t="inlineStr">
        <is>
          <t>Optional</t>
        </is>
      </c>
      <c r="G63" s="14" t="inlineStr">
        <is>
          <t>Decision pending; own folder and pipeline</t>
        </is>
      </c>
    </row>
    <row r="64">
      <c r="A64" s="13" t="n">
        <v>12</v>
      </c>
      <c r="B64" s="14" t="inlineStr">
        <is>
          <t>Future ideas</t>
        </is>
      </c>
      <c r="C64" s="14" t="inlineStr">
        <is>
          <t>Lyrics, sharing playlists, follow artists</t>
        </is>
      </c>
      <c r="D64" s="14" t="inlineStr">
        <is>
          <t>All</t>
        </is>
      </c>
      <c r="E64" s="15" t="inlineStr">
        <is>
          <t>☐</t>
        </is>
      </c>
      <c r="F64" s="14" t="inlineStr">
        <is>
          <t>Optional</t>
        </is>
      </c>
      <c r="G64" s="14" t="inlineStr"/>
    </row>
    <row r="65">
      <c r="A65" s="13" t="n">
        <v>12</v>
      </c>
      <c r="B65" s="14" t="inlineStr">
        <is>
          <t>Future ideas</t>
        </is>
      </c>
      <c r="C65" s="14" t="inlineStr">
        <is>
          <t>Admin analytics (plays, top songs)</t>
        </is>
      </c>
      <c r="D65" s="14" t="inlineStr">
        <is>
          <t>Admin</t>
        </is>
      </c>
      <c r="E65" s="15" t="inlineStr">
        <is>
          <t>☐</t>
        </is>
      </c>
      <c r="F65" s="14" t="inlineStr">
        <is>
          <t>Optional</t>
        </is>
      </c>
      <c r="G65" s="14" t="inlineStr"/>
    </row>
    <row r="66">
      <c r="A66" s="13" t="n">
        <v>12</v>
      </c>
      <c r="B66" s="14" t="inlineStr">
        <is>
          <t>Future ideas</t>
        </is>
      </c>
      <c r="C66" s="14" t="inlineStr">
        <is>
          <t>iOS app</t>
        </is>
      </c>
      <c r="D66" s="14" t="inlineStr">
        <is>
          <t>Mobile</t>
        </is>
      </c>
      <c r="E66" s="15" t="inlineStr">
        <is>
          <t>☐</t>
        </is>
      </c>
      <c r="F66" s="14" t="inlineStr">
        <is>
          <t>Optional</t>
        </is>
      </c>
      <c r="G66" s="14" t="inlineStr">
        <is>
          <t>Needs a Mac and paid Apple account</t>
        </is>
      </c>
    </row>
  </sheetData>
  <autoFilter ref="A4:G66"/>
  <conditionalFormatting sqref="A5:G66">
    <cfRule type="expression" priority="1" dxfId="0">
      <formula>$E5="☑"</formula>
    </cfRule>
    <cfRule type="expression" priority="2" dxfId="1">
      <formula>$F5="Needs you"</formula>
    </cfRule>
  </conditionalFormatting>
  <dataValidations count="2">
    <dataValidation sqref="E5:E66" showDropDown="0" showInputMessage="0" showErrorMessage="0" allowBlank="0" type="list">
      <formula1>"☐,☑"</formula1>
    </dataValidation>
    <dataValidation sqref="F5:F66" showDropDown="0" showInputMessage="0" showErrorMessage="0" allowBlank="0" type="list">
      <formula1>"Done,Next,Later,Needs you,Optional"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6" customWidth="1" min="3" max="3"/>
    <col width="34" customWidth="1" min="4" max="4"/>
    <col width="32" customWidth="1" min="5" max="5"/>
    <col width="44" customWidth="1" min="6" max="6"/>
    <col width="18" customWidth="1" min="7" max="7"/>
  </cols>
  <sheetData>
    <row r="1">
      <c r="A1" s="1" t="inlineStr">
        <is>
          <t>Architecture - what talks to what</t>
        </is>
      </c>
    </row>
    <row r="3">
      <c r="A3" s="7" t="inlineStr">
        <is>
          <t>Component</t>
        </is>
      </c>
      <c r="B3" s="7" t="inlineStr">
        <is>
          <t>Technology</t>
        </is>
      </c>
      <c r="C3" s="7" t="inlineStr">
        <is>
          <t>Hosted on</t>
        </is>
      </c>
      <c r="D3" s="7" t="inlineStr">
        <is>
          <t>Address / location</t>
        </is>
      </c>
      <c r="E3" s="7" t="inlineStr">
        <is>
          <t>Talks to</t>
        </is>
      </c>
      <c r="F3" s="7" t="inlineStr">
        <is>
          <t>Purpose</t>
        </is>
      </c>
      <c r="G3" s="7" t="inlineStr">
        <is>
          <t>Cost</t>
        </is>
      </c>
    </row>
    <row r="4">
      <c r="A4" s="14" t="inlineStr">
        <is>
          <t>Android app</t>
        </is>
      </c>
      <c r="B4" s="14" t="inlineStr">
        <is>
          <t>React Native 0.87 + TypeScript, Zustand, TanStack Query, react-native-track-player, WebView</t>
        </is>
      </c>
      <c r="C4" s="14" t="inlineStr">
        <is>
          <t>Phone (APK from GitHub release)</t>
        </is>
      </c>
      <c r="D4" s="14" t="inlineStr">
        <is>
          <t>mobile/</t>
        </is>
      </c>
      <c r="E4" s="14" t="inlineStr">
        <is>
          <t>Backend API, R2 (audio), YouTube player</t>
        </is>
      </c>
      <c r="F4" s="14" t="inlineStr">
        <is>
          <t>Listening, playlists, likes, trending videos</t>
        </is>
      </c>
      <c r="G4" s="14" t="inlineStr">
        <is>
          <t>Free</t>
        </is>
      </c>
    </row>
    <row r="5">
      <c r="A5" s="14" t="inlineStr">
        <is>
          <t>Website</t>
        </is>
      </c>
      <c r="B5" s="14" t="inlineStr">
        <is>
          <t>React + Vite + TypeScript</t>
        </is>
      </c>
      <c r="C5" s="14" t="inlineStr">
        <is>
          <t>Cloudflare Pages</t>
        </is>
      </c>
      <c r="D5" s="14" t="inlineStr">
        <is>
          <t>music.deploymentportal.in  (web/)</t>
        </is>
      </c>
      <c r="E5" s="14" t="inlineStr">
        <is>
          <t>Backend API, R2, YouTube player, Google sign-in</t>
        </is>
      </c>
      <c r="F5" s="14" t="inlineStr">
        <is>
          <t>Listening in a browser; Download-app button</t>
        </is>
      </c>
      <c r="G5" s="14" t="inlineStr">
        <is>
          <t>Free</t>
        </is>
      </c>
    </row>
    <row r="6">
      <c r="A6" s="14" t="inlineStr">
        <is>
          <t>Admin panel</t>
        </is>
      </c>
      <c r="B6" s="14" t="inlineStr">
        <is>
          <t>React + Vite + TypeScript</t>
        </is>
      </c>
      <c r="C6" s="14" t="inlineStr">
        <is>
          <t>Your laptop now; Cloudflare Pages planned</t>
        </is>
      </c>
      <c r="D6" s="14" t="inlineStr">
        <is>
          <t>admin/</t>
        </is>
      </c>
      <c r="E6" s="14" t="inlineStr">
        <is>
          <t>Backend API (/admin/...)</t>
        </is>
      </c>
      <c r="F6" s="14" t="inlineStr">
        <is>
          <t>ZIP upload, review labels, publish, mark downloadable</t>
        </is>
      </c>
      <c r="G6" s="14" t="inlineStr">
        <is>
          <t>Free</t>
        </is>
      </c>
    </row>
    <row r="7">
      <c r="A7" s="14" t="inlineStr">
        <is>
          <t>Backend API</t>
        </is>
      </c>
      <c r="B7" s="14" t="inlineStr">
        <is>
          <t>Node + Express + TypeScript, zod, JWT, bcryptjs, multer, yauzl, music-metadata, bundled ffmpeg</t>
        </is>
      </c>
      <c r="C7" s="14" t="inlineStr">
        <is>
          <t>Render (free plan)</t>
        </is>
      </c>
      <c r="D7" s="14" t="inlineStr">
        <is>
          <t>musicapp-j5ji.onrender.com  (backend/)</t>
        </is>
      </c>
      <c r="E7" s="14" t="inlineStr">
        <is>
          <t>PostgreSQL, R2, Google, YouTube, Jamendo</t>
        </is>
      </c>
      <c r="F7" s="14" t="inlineStr">
        <is>
          <t>All business logic, auth, search, uploads, classification</t>
        </is>
      </c>
      <c r="G7" s="14" t="inlineStr">
        <is>
          <t>Free (sleeps when idle)</t>
        </is>
      </c>
    </row>
    <row r="8">
      <c r="A8" s="14" t="inlineStr">
        <is>
          <t>Database</t>
        </is>
      </c>
      <c r="B8" s="14" t="inlineStr">
        <is>
          <t>PostgreSQL</t>
        </is>
      </c>
      <c r="C8" s="14" t="inlineStr">
        <is>
          <t>Aiven (free plan, SSL)</t>
        </is>
      </c>
      <c r="D8" s="14" t="inlineStr">
        <is>
          <t>backend/db/schema.sql</t>
        </is>
      </c>
      <c r="E8" s="14" t="inlineStr">
        <is>
          <t>Backend only</t>
        </is>
      </c>
      <c r="F8" s="14" t="inlineStr">
        <is>
          <t>Users, songs, movies, labels, playlists, upload jobs, classifications</t>
        </is>
      </c>
      <c r="G8" s="14" t="inlineStr">
        <is>
          <t>Free</t>
        </is>
      </c>
    </row>
    <row r="9">
      <c r="A9" s="14" t="inlineStr">
        <is>
          <t>File storage</t>
        </is>
      </c>
      <c r="B9" s="14" t="inlineStr">
        <is>
          <t>Cloudflare R2 (S3 API)</t>
        </is>
      </c>
      <c r="C9" s="14" t="inlineStr">
        <is>
          <t>Cloudflare</t>
        </is>
      </c>
      <c r="D9" s="14" t="inlineStr">
        <is>
          <t>media.deploymentportal.in</t>
        </is>
      </c>
      <c r="E9" s="14" t="inlineStr">
        <is>
          <t>Backend writes; apps read audio and covers</t>
        </is>
      </c>
      <c r="F9" s="14" t="inlineStr">
        <is>
          <t>Audio files, covers, posters</t>
        </is>
      </c>
      <c r="G9" s="14" t="inlineStr">
        <is>
          <t>Free tier</t>
        </is>
      </c>
    </row>
    <row r="10">
      <c r="A10" s="14" t="inlineStr">
        <is>
          <t>Build pipeline</t>
        </is>
      </c>
      <c r="B10" s="14" t="inlineStr">
        <is>
          <t>GitHub Actions</t>
        </is>
      </c>
      <c r="C10" s="14" t="inlineStr">
        <is>
          <t>GitHub</t>
        </is>
      </c>
      <c r="D10" s="14" t="inlineStr">
        <is>
          <t>.github/workflows/android.yml</t>
        </is>
      </c>
      <c r="E10" s="14" t="inlineStr">
        <is>
          <t>GitHub release 'latest'</t>
        </is>
      </c>
      <c r="F10" s="14" t="inlineStr">
        <is>
          <t>Build, sign, emulator test, publish APK + version.json</t>
        </is>
      </c>
      <c r="G10" s="14" t="inlineStr">
        <is>
          <t>Free</t>
        </is>
      </c>
    </row>
    <row r="11">
      <c r="A11" s="14" t="inlineStr">
        <is>
          <t>Google sign-in</t>
        </is>
      </c>
      <c r="B11" s="14" t="inlineStr">
        <is>
          <t>Google Identity / google-auth-library</t>
        </is>
      </c>
      <c r="C11" s="14" t="inlineStr">
        <is>
          <t>Google</t>
        </is>
      </c>
      <c r="D11" s="14" t="inlineStr">
        <is>
          <t>Google Cloud project</t>
        </is>
      </c>
      <c r="E11" s="14" t="inlineStr">
        <is>
          <t>Website, backend</t>
        </is>
      </c>
      <c r="F11" s="14" t="inlineStr">
        <is>
          <t>Sign in with Google</t>
        </is>
      </c>
      <c r="G11" s="14" t="inlineStr">
        <is>
          <t>Free</t>
        </is>
      </c>
    </row>
    <row r="12">
      <c r="A12" s="14" t="inlineStr">
        <is>
          <t>YouTube Data API</t>
        </is>
      </c>
      <c r="B12" s="14" t="inlineStr">
        <is>
          <t>REST</t>
        </is>
      </c>
      <c r="C12" s="14" t="inlineStr">
        <is>
          <t>Google</t>
        </is>
      </c>
      <c r="D12" s="14" t="inlineStr">
        <is>
          <t>Key stored on Render</t>
        </is>
      </c>
      <c r="E12" s="14" t="inlineStr">
        <is>
          <t>Backend</t>
        </is>
      </c>
      <c r="F12" s="14" t="inlineStr">
        <is>
          <t>Search and trending Telugu videos (played only in YouTube's own player)</t>
        </is>
      </c>
      <c r="G12" s="14" t="inlineStr">
        <is>
          <t>Free quota</t>
        </is>
      </c>
    </row>
    <row r="13">
      <c r="A13" s="14" t="inlineStr">
        <is>
          <t>Jamendo API</t>
        </is>
      </c>
      <c r="B13" s="14" t="inlineStr">
        <is>
          <t>REST</t>
        </is>
      </c>
      <c r="C13" s="14" t="inlineStr">
        <is>
          <t>Jamendo</t>
        </is>
      </c>
      <c r="D13" s="14" t="inlineStr">
        <is>
          <t>Key stored on Render</t>
        </is>
      </c>
      <c r="E13" s="14" t="inlineStr">
        <is>
          <t>Backend</t>
        </is>
      </c>
      <c r="F13" s="14" t="inlineStr">
        <is>
          <t>Creative Commons music search and import</t>
        </is>
      </c>
      <c r="G13" s="14" t="inlineStr">
        <is>
          <t>Free</t>
        </is>
      </c>
    </row>
    <row r="14">
      <c r="A14" s="14" t="inlineStr">
        <is>
          <t>Classifier</t>
        </is>
      </c>
      <c r="B14" s="14" t="inlineStr">
        <is>
          <t>Local rules over ffmpeg audio features (heuristic-v1); optional external service via CLASSIFIER_URL</t>
        </is>
      </c>
      <c r="C14" s="14" t="inlineStr">
        <is>
          <t>Inside the backend</t>
        </is>
      </c>
      <c r="D14" s="14" t="inlineStr">
        <is>
          <t>backend/src/classifier/</t>
        </is>
      </c>
      <c r="E14" s="14" t="inlineStr">
        <is>
          <t>Backend, R2 audio</t>
        </is>
      </c>
      <c r="F14" s="14" t="inlineStr">
        <is>
          <t>Suggested labels with confidence for admin review</t>
        </is>
      </c>
      <c r="G14" s="14" t="inlineStr">
        <is>
          <t>Free</t>
        </is>
      </c>
    </row>
    <row r="16">
      <c r="A16" s="3" t="inlineStr">
        <is>
          <t>Main flows</t>
        </is>
      </c>
    </row>
    <row r="17">
      <c r="A17" s="14" t="inlineStr">
        <is>
          <t>Listening</t>
        </is>
      </c>
      <c r="B17" s="14" t="inlineStr">
        <is>
          <t>App / website  -&gt;  Backend (list, search)  -&gt;  PostgreSQL;  audio streamed straight from R2</t>
        </is>
      </c>
      <c r="C17" s="16" t="n"/>
      <c r="D17" s="16" t="n"/>
      <c r="E17" s="16" t="n"/>
      <c r="F17" s="16" t="n"/>
      <c r="G17" s="17" t="n"/>
    </row>
    <row r="18">
      <c r="A18" s="14" t="inlineStr">
        <is>
          <t>Admin upload</t>
        </is>
      </c>
      <c r="B18" s="14" t="inlineStr">
        <is>
          <t>Admin panel  -&gt;  Backend (stream ZIP)  -&gt;  checks  -&gt;  songs saved to R2 as DRAFT  -&gt;  classify  -&gt;  admin approves labels  -&gt;  publish</t>
        </is>
      </c>
      <c r="C18" s="16" t="n"/>
      <c r="D18" s="16" t="n"/>
      <c r="E18" s="16" t="n"/>
      <c r="F18" s="16" t="n"/>
      <c r="G18" s="17" t="n"/>
    </row>
    <row r="19">
      <c r="A19" s="14" t="inlineStr">
        <is>
          <t>Discovery</t>
        </is>
      </c>
      <c r="B19" s="14" t="inlineStr">
        <is>
          <t>App / website  -&gt;  Backend  -&gt;  YouTube / Jamendo;  Jamendo imports are copied to R2;  YouTube only plays in the embedded player</t>
        </is>
      </c>
      <c r="C19" s="16" t="n"/>
      <c r="D19" s="16" t="n"/>
      <c r="E19" s="16" t="n"/>
      <c r="F19" s="16" t="n"/>
      <c r="G19" s="17" t="n"/>
    </row>
    <row r="20">
      <c r="A20" s="14" t="inlineStr">
        <is>
          <t>Release</t>
        </is>
      </c>
      <c r="B20" s="14" t="inlineStr">
        <is>
          <t>Tag vX.Y.Z  -&gt;  GitHub Actions build + sign + emulator test  -&gt;  release 'latest' (music.apk, version.json)  -&gt;  website Download button</t>
        </is>
      </c>
      <c r="C20" s="16" t="n"/>
      <c r="D20" s="16" t="n"/>
      <c r="E20" s="16" t="n"/>
      <c r="F20" s="16" t="n"/>
      <c r="G20" s="17" t="n"/>
    </row>
    <row r="21">
      <c r="A21" s="14" t="inlineStr">
        <is>
          <t>Download a song</t>
        </is>
      </c>
      <c r="B21" s="14" t="inlineStr">
        <is>
          <t>App  -&gt;  Backend (only if songs.downloadable)  -&gt;  short-lived signed link  -&gt;  R2</t>
        </is>
      </c>
      <c r="C21" s="16" t="n"/>
      <c r="D21" s="16" t="n"/>
      <c r="E21" s="16" t="n"/>
      <c r="F21" s="16" t="n"/>
      <c r="G21" s="17" t="n"/>
    </row>
  </sheetData>
  <mergeCells count="5">
    <mergeCell ref="B19:G19"/>
    <mergeCell ref="B20:G20"/>
    <mergeCell ref="B17:G17"/>
    <mergeCell ref="B18:G18"/>
    <mergeCell ref="B21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A5F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2" customWidth="1" min="3" max="3"/>
    <col width="10" customWidth="1" min="4" max="4"/>
    <col width="52" customWidth="1" min="5" max="5"/>
    <col width="18" customWidth="1" min="6" max="6"/>
  </cols>
  <sheetData>
    <row r="1">
      <c r="A1" s="1" t="inlineStr">
        <is>
          <t>Backend route map</t>
        </is>
      </c>
    </row>
    <row r="2">
      <c r="A2" s="2" t="inlineStr">
        <is>
          <t>Built = live now. Planned = needed by a later phase.</t>
        </is>
      </c>
    </row>
    <row r="3">
      <c r="A3" s="7" t="inlineStr">
        <is>
          <t>Group</t>
        </is>
      </c>
      <c r="B3" s="7" t="inlineStr">
        <is>
          <t>Method</t>
        </is>
      </c>
      <c r="C3" s="7" t="inlineStr">
        <is>
          <t>Path</t>
        </is>
      </c>
      <c r="D3" s="7" t="inlineStr">
        <is>
          <t>Who</t>
        </is>
      </c>
      <c r="E3" s="7" t="inlineStr">
        <is>
          <t>Purpose</t>
        </is>
      </c>
      <c r="F3" s="7" t="inlineStr">
        <is>
          <t>Status</t>
        </is>
      </c>
    </row>
    <row r="4">
      <c r="A4" s="14" t="inlineStr">
        <is>
          <t>Health</t>
        </is>
      </c>
      <c r="B4" s="14" t="inlineStr">
        <is>
          <t>GET</t>
        </is>
      </c>
      <c r="C4" s="14" t="inlineStr">
        <is>
          <t>/health</t>
        </is>
      </c>
      <c r="D4" s="14" t="inlineStr">
        <is>
          <t>Anyone</t>
        </is>
      </c>
      <c r="E4" s="14" t="inlineStr">
        <is>
          <t>Server and integration status</t>
        </is>
      </c>
      <c r="F4" s="14" t="inlineStr">
        <is>
          <t>Built</t>
        </is>
      </c>
    </row>
    <row r="5">
      <c r="A5" s="14" t="inlineStr">
        <is>
          <t>Auth</t>
        </is>
      </c>
      <c r="B5" s="14" t="inlineStr">
        <is>
          <t>POST</t>
        </is>
      </c>
      <c r="C5" s="14" t="inlineStr">
        <is>
          <t>/auth/register, /auth/login, /auth/refresh, /auth/google</t>
        </is>
      </c>
      <c r="D5" s="14" t="inlineStr">
        <is>
          <t>Anyone</t>
        </is>
      </c>
      <c r="E5" s="14" t="inlineStr">
        <is>
          <t>Create account, sign in, renew token, Google sign-in</t>
        </is>
      </c>
      <c r="F5" s="14" t="inlineStr">
        <is>
          <t>Built</t>
        </is>
      </c>
    </row>
    <row r="6">
      <c r="A6" s="14" t="inlineStr">
        <is>
          <t>Songs</t>
        </is>
      </c>
      <c r="B6" s="14" t="inlineStr">
        <is>
          <t>GET</t>
        </is>
      </c>
      <c r="C6" s="14" t="inlineStr">
        <is>
          <t>/songs  (sort, labels, language, q, limit, offset)</t>
        </is>
      </c>
      <c r="D6" s="14" t="inlineStr">
        <is>
          <t>Anyone</t>
        </is>
      </c>
      <c r="E6" s="14" t="inlineStr">
        <is>
          <t>List and filter published songs</t>
        </is>
      </c>
      <c r="F6" s="14" t="inlineStr">
        <is>
          <t>Built</t>
        </is>
      </c>
    </row>
    <row r="7">
      <c r="A7" s="14" t="inlineStr">
        <is>
          <t>Songs</t>
        </is>
      </c>
      <c r="B7" s="14" t="inlineStr">
        <is>
          <t>GET</t>
        </is>
      </c>
      <c r="C7" s="14" t="inlineStr">
        <is>
          <t>/songs/search?q=</t>
        </is>
      </c>
      <c r="D7" s="14" t="inlineStr">
        <is>
          <t>Anyone</t>
        </is>
      </c>
      <c r="E7" s="14" t="inlineStr">
        <is>
          <t>Smart search; label searches use approved labels only</t>
        </is>
      </c>
      <c r="F7" s="14" t="inlineStr">
        <is>
          <t>Built</t>
        </is>
      </c>
    </row>
    <row r="8">
      <c r="A8" s="14" t="inlineStr">
        <is>
          <t>Songs</t>
        </is>
      </c>
      <c r="B8" s="14" t="inlineStr">
        <is>
          <t>POST/DELETE</t>
        </is>
      </c>
      <c r="C8" s="14" t="inlineStr">
        <is>
          <t>/songs/:id/like</t>
        </is>
      </c>
      <c r="D8" s="14" t="inlineStr">
        <is>
          <t>User</t>
        </is>
      </c>
      <c r="E8" s="14" t="inlineStr">
        <is>
          <t>Like / unlike</t>
        </is>
      </c>
      <c r="F8" s="14" t="inlineStr">
        <is>
          <t>Built</t>
        </is>
      </c>
    </row>
    <row r="9">
      <c r="A9" s="14" t="inlineStr">
        <is>
          <t>Songs</t>
        </is>
      </c>
      <c r="B9" s="14" t="inlineStr">
        <is>
          <t>GET</t>
        </is>
      </c>
      <c r="C9" s="14" t="inlineStr">
        <is>
          <t>/songs/:id/download-link, /songs/:id/download</t>
        </is>
      </c>
      <c r="D9" s="14" t="inlineStr">
        <is>
          <t>User</t>
        </is>
      </c>
      <c r="E9" s="14" t="inlineStr">
        <is>
          <t>Signed download, only if downloadable</t>
        </is>
      </c>
      <c r="F9" s="14" t="inlineStr">
        <is>
          <t>Built</t>
        </is>
      </c>
    </row>
    <row r="10">
      <c r="A10" s="14" t="inlineStr">
        <is>
          <t>Catalogue</t>
        </is>
      </c>
      <c r="B10" s="14" t="inlineStr">
        <is>
          <t>GET</t>
        </is>
      </c>
      <c r="C10" s="14" t="inlineStr">
        <is>
          <t>/artists, /artists/:id/songs, /albums, /albums/:id/songs, /genres</t>
        </is>
      </c>
      <c r="D10" s="14" t="inlineStr">
        <is>
          <t>Anyone</t>
        </is>
      </c>
      <c r="E10" s="14" t="inlineStr">
        <is>
          <t>Browse</t>
        </is>
      </c>
      <c r="F10" s="14" t="inlineStr">
        <is>
          <t>Built</t>
        </is>
      </c>
    </row>
    <row r="11">
      <c r="A11" s="14" t="inlineStr">
        <is>
          <t>Movies</t>
        </is>
      </c>
      <c r="B11" s="14" t="inlineStr">
        <is>
          <t>GET</t>
        </is>
      </c>
      <c r="C11" s="14" t="inlineStr">
        <is>
          <t>/movies, /movies/:id</t>
        </is>
      </c>
      <c r="D11" s="14" t="inlineStr">
        <is>
          <t>Anyone</t>
        </is>
      </c>
      <c r="E11" s="14" t="inlineStr">
        <is>
          <t>Published movie soundtracks</t>
        </is>
      </c>
      <c r="F11" s="14" t="inlineStr">
        <is>
          <t>Built</t>
        </is>
      </c>
    </row>
    <row r="12">
      <c r="A12" s="14" t="inlineStr">
        <is>
          <t>Labels</t>
        </is>
      </c>
      <c r="B12" s="14" t="inlineStr">
        <is>
          <t>GET</t>
        </is>
      </c>
      <c r="C12" s="14" t="inlineStr">
        <is>
          <t>/moods</t>
        </is>
      </c>
      <c r="D12" s="14" t="inlineStr">
        <is>
          <t>Anyone</t>
        </is>
      </c>
      <c r="E12" s="14" t="inlineStr">
        <is>
          <t>Label list with counts of approved labels</t>
        </is>
      </c>
      <c r="F12" s="14" t="inlineStr">
        <is>
          <t>Built</t>
        </is>
      </c>
    </row>
    <row r="13">
      <c r="A13" s="14" t="inlineStr">
        <is>
          <t>Playlists</t>
        </is>
      </c>
      <c r="B13" s="14" t="inlineStr">
        <is>
          <t>GET/POST/PUT/DELETE</t>
        </is>
      </c>
      <c r="C13" s="14" t="inlineStr">
        <is>
          <t>/playlists, /playlists/:id, /playlists/:id/songs</t>
        </is>
      </c>
      <c r="D13" s="14" t="inlineStr">
        <is>
          <t>User</t>
        </is>
      </c>
      <c r="E13" s="14" t="inlineStr">
        <is>
          <t>Manage playlists</t>
        </is>
      </c>
      <c r="F13" s="14" t="inlineStr">
        <is>
          <t>Built</t>
        </is>
      </c>
    </row>
    <row r="14">
      <c r="A14" s="14" t="inlineStr">
        <is>
          <t>Me</t>
        </is>
      </c>
      <c r="B14" s="14" t="inlineStr">
        <is>
          <t>GET</t>
        </is>
      </c>
      <c r="C14" s="14" t="inlineStr">
        <is>
          <t>/users/me/recently-played, /users/me/liked-songs</t>
        </is>
      </c>
      <c r="D14" s="14" t="inlineStr">
        <is>
          <t>User</t>
        </is>
      </c>
      <c r="E14" s="14" t="inlineStr">
        <is>
          <t>Personal lists</t>
        </is>
      </c>
      <c r="F14" s="14" t="inlineStr">
        <is>
          <t>Built</t>
        </is>
      </c>
    </row>
    <row r="15">
      <c r="A15" s="14" t="inlineStr">
        <is>
          <t>Discover</t>
        </is>
      </c>
      <c r="B15" s="14" t="inlineStr">
        <is>
          <t>GET</t>
        </is>
      </c>
      <c r="C15" s="14" t="inlineStr">
        <is>
          <t>/discover/search, /discover/youtube, /discover/trending?kind=&amp;lang=</t>
        </is>
      </c>
      <c r="D15" s="14" t="inlineStr">
        <is>
          <t>Anyone</t>
        </is>
      </c>
      <c r="E15" s="14" t="inlineStr">
        <is>
          <t>Jamendo search, YouTube search, trending / popular videos</t>
        </is>
      </c>
      <c r="F15" s="14" t="inlineStr">
        <is>
          <t>Built</t>
        </is>
      </c>
    </row>
    <row r="16">
      <c r="A16" s="14" t="inlineStr">
        <is>
          <t>Discover</t>
        </is>
      </c>
      <c r="B16" s="14" t="inlineStr">
        <is>
          <t>POST</t>
        </is>
      </c>
      <c r="C16" s="14" t="inlineStr">
        <is>
          <t>/discover/import</t>
        </is>
      </c>
      <c r="D16" s="14" t="inlineStr">
        <is>
          <t>User</t>
        </is>
      </c>
      <c r="E16" s="14" t="inlineStr">
        <is>
          <t>Copy a Creative Commons song into the library</t>
        </is>
      </c>
      <c r="F16" s="14" t="inlineStr">
        <is>
          <t>Built</t>
        </is>
      </c>
    </row>
    <row r="17">
      <c r="A17" s="14" t="inlineStr">
        <is>
          <t>App</t>
        </is>
      </c>
      <c r="B17" s="14" t="inlineStr">
        <is>
          <t>GET</t>
        </is>
      </c>
      <c r="C17" s="14" t="inlineStr">
        <is>
          <t>/app/download</t>
        </is>
      </c>
      <c r="D17" s="14" t="inlineStr">
        <is>
          <t>Anyone</t>
        </is>
      </c>
      <c r="E17" s="14" t="inlineStr">
        <is>
          <t>Streams the latest APK</t>
        </is>
      </c>
      <c r="F17" s="14" t="inlineStr">
        <is>
          <t>Built</t>
        </is>
      </c>
    </row>
    <row r="18">
      <c r="A18" s="14" t="inlineStr">
        <is>
          <t>Admin uploads</t>
        </is>
      </c>
      <c r="B18" s="14" t="inlineStr">
        <is>
          <t>POST/GET</t>
        </is>
      </c>
      <c r="C18" s="14" t="inlineStr">
        <is>
          <t>/admin/uploads, /admin/uploads/suggest-movie, job history</t>
        </is>
      </c>
      <c r="D18" s="14" t="inlineStr">
        <is>
          <t>Admin</t>
        </is>
      </c>
      <c r="E18" s="14" t="inlineStr">
        <is>
          <t>ZIP upload, name detection, progress</t>
        </is>
      </c>
      <c r="F18" s="14" t="inlineStr">
        <is>
          <t>Built</t>
        </is>
      </c>
    </row>
    <row r="19">
      <c r="A19" s="14" t="inlineStr">
        <is>
          <t>Admin movies</t>
        </is>
      </c>
      <c r="B19" s="14" t="inlineStr">
        <is>
          <t>GET/PATCH/POST</t>
        </is>
      </c>
      <c r="C19" s="14" t="inlineStr">
        <is>
          <t>/admin/movies, /admin/movies/:id/songs, /publish, /order, /approve-labels, /classify</t>
        </is>
      </c>
      <c r="D19" s="14" t="inlineStr">
        <is>
          <t>Admin</t>
        </is>
      </c>
      <c r="E19" s="14" t="inlineStr">
        <is>
          <t>Review, publish, classify</t>
        </is>
      </c>
      <c r="F19" s="14" t="inlineStr">
        <is>
          <t>Built</t>
        </is>
      </c>
    </row>
    <row r="20">
      <c r="A20" s="14" t="inlineStr">
        <is>
          <t>Admin songs</t>
        </is>
      </c>
      <c r="B20" s="14" t="inlineStr">
        <is>
          <t>PATCH/POST</t>
        </is>
      </c>
      <c r="C20" s="14" t="inlineStr">
        <is>
          <t>/admin/songs/:id, /suggest, /classification, /classify</t>
        </is>
      </c>
      <c r="D20" s="14" t="inlineStr">
        <is>
          <t>Admin</t>
        </is>
      </c>
      <c r="E20" s="14" t="inlineStr">
        <is>
          <t>Edit, approve or reject labels</t>
        </is>
      </c>
      <c r="F20" s="14" t="inlineStr">
        <is>
          <t>Built</t>
        </is>
      </c>
    </row>
    <row r="21">
      <c r="A21" s="14" t="inlineStr">
        <is>
          <t>Admin albums</t>
        </is>
      </c>
      <c r="B21" s="14" t="inlineStr">
        <is>
          <t>POST/PATCH</t>
        </is>
      </c>
      <c r="C21" s="14" t="inlineStr">
        <is>
          <t>/admin/albums</t>
        </is>
      </c>
      <c r="D21" s="14" t="inlineStr">
        <is>
          <t>Admin</t>
        </is>
      </c>
      <c r="E21" s="14" t="inlineStr">
        <is>
          <t>Create / edit movies</t>
        </is>
      </c>
      <c r="F21" s="14" t="inlineStr">
        <is>
          <t>Built</t>
        </is>
      </c>
    </row>
    <row r="22">
      <c r="A22" s="14" t="inlineStr">
        <is>
          <t>Admin labels</t>
        </is>
      </c>
      <c r="B22" s="14" t="inlineStr">
        <is>
          <t>GET</t>
        </is>
      </c>
      <c r="C22" s="14" t="inlineStr">
        <is>
          <t>/admin/labels</t>
        </is>
      </c>
      <c r="D22" s="14" t="inlineStr">
        <is>
          <t>Admin</t>
        </is>
      </c>
      <c r="E22" s="14" t="inlineStr">
        <is>
          <t>Label definitions</t>
        </is>
      </c>
      <c r="F22" s="14" t="inlineStr">
        <is>
          <t>Built</t>
        </is>
      </c>
    </row>
    <row r="23">
      <c r="A23" s="14" t="inlineStr">
        <is>
          <t>Updater</t>
        </is>
      </c>
      <c r="B23" s="14" t="inlineStr">
        <is>
          <t>GET</t>
        </is>
      </c>
      <c r="C23" s="14" t="inlineStr">
        <is>
          <t>/app/version (mirror of version.json)</t>
        </is>
      </c>
      <c r="D23" s="14" t="inlineStr">
        <is>
          <t>Anyone</t>
        </is>
      </c>
      <c r="E23" s="14" t="inlineStr">
        <is>
          <t>Latest version for the in-app updater</t>
        </is>
      </c>
      <c r="F23" s="14" t="inlineStr">
        <is>
          <t>Planned (phase 9)</t>
        </is>
      </c>
    </row>
    <row r="24">
      <c r="A24" s="14" t="inlineStr">
        <is>
          <t>Offline</t>
        </is>
      </c>
      <c r="B24" s="14" t="inlineStr">
        <is>
          <t>GET</t>
        </is>
      </c>
      <c r="C24" s="14" t="inlineStr">
        <is>
          <t>/songs/:id/download-link (already exists)</t>
        </is>
      </c>
      <c r="D24" s="14" t="inlineStr">
        <is>
          <t>User</t>
        </is>
      </c>
      <c r="E24" s="14" t="inlineStr">
        <is>
          <t>Used by the app's download manager</t>
        </is>
      </c>
      <c r="F24" s="14" t="inlineStr">
        <is>
          <t>Planned (phase 7)</t>
        </is>
      </c>
    </row>
    <row r="25">
      <c r="A25" s="14" t="inlineStr">
        <is>
          <t>Admin analytics</t>
        </is>
      </c>
      <c r="B25" s="14" t="inlineStr">
        <is>
          <t>GET</t>
        </is>
      </c>
      <c r="C25" s="14" t="inlineStr">
        <is>
          <t>/admin/stats</t>
        </is>
      </c>
      <c r="D25" s="14" t="inlineStr">
        <is>
          <t>Admin</t>
        </is>
      </c>
      <c r="E25" s="14" t="inlineStr">
        <is>
          <t>Plays, top songs</t>
        </is>
      </c>
      <c r="F25" s="14" t="inlineStr">
        <is>
          <t>Planned (future)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A5F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6" customWidth="1" min="4" max="4"/>
    <col width="32" customWidth="1" min="5" max="5"/>
  </cols>
  <sheetData>
    <row r="1">
      <c r="A1" s="1" t="inlineStr">
        <is>
          <t>Screen map - app vs website</t>
        </is>
      </c>
    </row>
    <row r="2">
      <c r="A2" s="2" t="inlineStr">
        <is>
          <t>☑ built, ☐ not built</t>
        </is>
      </c>
    </row>
    <row r="3">
      <c r="A3" s="7" t="inlineStr">
        <is>
          <t>Screen</t>
        </is>
      </c>
      <c r="B3" s="7" t="inlineStr">
        <is>
          <t>Website</t>
        </is>
      </c>
      <c r="C3" s="7" t="inlineStr">
        <is>
          <t>Android app</t>
        </is>
      </c>
      <c r="D3" s="7" t="inlineStr">
        <is>
          <t>Admin panel</t>
        </is>
      </c>
      <c r="E3" s="7" t="inlineStr">
        <is>
          <t>Notes</t>
        </is>
      </c>
    </row>
    <row r="4">
      <c r="A4" s="14" t="inlineStr">
        <is>
          <t>Login / register / Google</t>
        </is>
      </c>
      <c r="B4" s="13" t="inlineStr">
        <is>
          <t>☑</t>
        </is>
      </c>
      <c r="C4" s="13" t="inlineStr">
        <is>
          <t>☑ (Google not yet)</t>
        </is>
      </c>
      <c r="D4" s="13" t="inlineStr">
        <is>
          <t>☑</t>
        </is>
      </c>
      <c r="E4" s="14" t="inlineStr"/>
    </row>
    <row r="5">
      <c r="A5" s="14" t="inlineStr">
        <is>
          <t>Home (recent, popular, artists)</t>
        </is>
      </c>
      <c r="B5" s="13" t="inlineStr">
        <is>
          <t>☑</t>
        </is>
      </c>
      <c r="C5" s="13" t="inlineStr">
        <is>
          <t>☑</t>
        </is>
      </c>
      <c r="D5" s="13" t="inlineStr">
        <is>
          <t>-</t>
        </is>
      </c>
      <c r="E5" s="14" t="inlineStr"/>
    </row>
    <row r="6">
      <c r="A6" s="14" t="inlineStr">
        <is>
          <t>Trending + popular Telugu videos</t>
        </is>
      </c>
      <c r="B6" s="13" t="inlineStr">
        <is>
          <t>☑</t>
        </is>
      </c>
      <c r="C6" s="13" t="inlineStr">
        <is>
          <t>☑</t>
        </is>
      </c>
      <c r="D6" s="13" t="inlineStr">
        <is>
          <t>-</t>
        </is>
      </c>
      <c r="E6" s="14" t="inlineStr">
        <is>
          <t>YouTube embedded player</t>
        </is>
      </c>
    </row>
    <row r="7">
      <c r="A7" s="14" t="inlineStr">
        <is>
          <t>Search (library, Jamendo, YouTube)</t>
        </is>
      </c>
      <c r="B7" s="13" t="inlineStr">
        <is>
          <t>☑</t>
        </is>
      </c>
      <c r="C7" s="13" t="inlineStr">
        <is>
          <t>☑</t>
        </is>
      </c>
      <c r="D7" s="13" t="inlineStr">
        <is>
          <t>-</t>
        </is>
      </c>
      <c r="E7" s="14" t="inlineStr"/>
    </row>
    <row r="8">
      <c r="A8" s="14" t="inlineStr">
        <is>
          <t>Smart label search / label browser</t>
        </is>
      </c>
      <c r="B8" s="13" t="inlineStr">
        <is>
          <t>☑</t>
        </is>
      </c>
      <c r="C8" s="13" t="inlineStr">
        <is>
          <t>☐</t>
        </is>
      </c>
      <c r="D8" s="13" t="inlineStr">
        <is>
          <t>-</t>
        </is>
      </c>
      <c r="E8" s="14" t="inlineStr">
        <is>
          <t>Phase 5</t>
        </is>
      </c>
    </row>
    <row r="9">
      <c r="A9" s="14" t="inlineStr">
        <is>
          <t>Movie list and movie page</t>
        </is>
      </c>
      <c r="B9" s="13" t="inlineStr">
        <is>
          <t>☑</t>
        </is>
      </c>
      <c r="C9" s="13" t="inlineStr">
        <is>
          <t>☐</t>
        </is>
      </c>
      <c r="D9" s="13" t="inlineStr">
        <is>
          <t>-</t>
        </is>
      </c>
      <c r="E9" s="14" t="inlineStr">
        <is>
          <t>Phase 5</t>
        </is>
      </c>
    </row>
    <row r="10">
      <c r="A10" s="14" t="inlineStr">
        <is>
          <t>Now playing</t>
        </is>
      </c>
      <c r="B10" s="13" t="inlineStr">
        <is>
          <t>☑</t>
        </is>
      </c>
      <c r="C10" s="13" t="inlineStr">
        <is>
          <t>☑</t>
        </is>
      </c>
      <c r="D10" s="13" t="inlineStr">
        <is>
          <t>-</t>
        </is>
      </c>
      <c r="E10" s="14" t="inlineStr"/>
    </row>
    <row r="11">
      <c r="A11" s="14" t="inlineStr">
        <is>
          <t>Queue</t>
        </is>
      </c>
      <c r="B11" s="13" t="inlineStr">
        <is>
          <t>☐</t>
        </is>
      </c>
      <c r="C11" s="13" t="inlineStr">
        <is>
          <t>☐</t>
        </is>
      </c>
      <c r="D11" s="13" t="inlineStr">
        <is>
          <t>-</t>
        </is>
      </c>
      <c r="E11" s="14" t="inlineStr">
        <is>
          <t>Phase 6</t>
        </is>
      </c>
    </row>
    <row r="12">
      <c r="A12" s="14" t="inlineStr">
        <is>
          <t>Playlists and liked songs</t>
        </is>
      </c>
      <c r="B12" s="13" t="inlineStr">
        <is>
          <t>☑</t>
        </is>
      </c>
      <c r="C12" s="13" t="inlineStr">
        <is>
          <t>☑</t>
        </is>
      </c>
      <c r="D12" s="13" t="inlineStr">
        <is>
          <t>-</t>
        </is>
      </c>
      <c r="E12" s="14" t="inlineStr"/>
    </row>
    <row r="13">
      <c r="A13" s="14" t="inlineStr">
        <is>
          <t>Account / logout</t>
        </is>
      </c>
      <c r="B13" s="13" t="inlineStr">
        <is>
          <t>☑</t>
        </is>
      </c>
      <c r="C13" s="13" t="inlineStr">
        <is>
          <t>☑</t>
        </is>
      </c>
      <c r="D13" s="13" t="inlineStr">
        <is>
          <t>-</t>
        </is>
      </c>
      <c r="E13" s="14" t="inlineStr"/>
    </row>
    <row r="14">
      <c r="A14" s="14" t="inlineStr">
        <is>
          <t>Download app button</t>
        </is>
      </c>
      <c r="B14" s="13" t="inlineStr">
        <is>
          <t>☑</t>
        </is>
      </c>
      <c r="C14" s="13" t="inlineStr">
        <is>
          <t>-</t>
        </is>
      </c>
      <c r="D14" s="13" t="inlineStr">
        <is>
          <t>-</t>
        </is>
      </c>
      <c r="E14" s="14" t="inlineStr"/>
    </row>
    <row r="15">
      <c r="A15" s="14" t="inlineStr">
        <is>
          <t>Downloads (offline)</t>
        </is>
      </c>
      <c r="B15" s="13" t="inlineStr">
        <is>
          <t>☐</t>
        </is>
      </c>
      <c r="C15" s="13" t="inlineStr">
        <is>
          <t>☐</t>
        </is>
      </c>
      <c r="D15" s="13" t="inlineStr">
        <is>
          <t>-</t>
        </is>
      </c>
      <c r="E15" s="14" t="inlineStr">
        <is>
          <t>Phases 7-8</t>
        </is>
      </c>
    </row>
    <row r="16">
      <c r="A16" s="14" t="inlineStr">
        <is>
          <t>Update available prompt</t>
        </is>
      </c>
      <c r="B16" s="13" t="inlineStr">
        <is>
          <t>-</t>
        </is>
      </c>
      <c r="C16" s="13" t="inlineStr">
        <is>
          <t>☐</t>
        </is>
      </c>
      <c r="D16" s="13" t="inlineStr">
        <is>
          <t>-</t>
        </is>
      </c>
      <c r="E16" s="14" t="inlineStr">
        <is>
          <t>Phase 9</t>
        </is>
      </c>
    </row>
    <row r="17">
      <c r="A17" s="14" t="inlineStr">
        <is>
          <t>ZIP upload with movie-name detection</t>
        </is>
      </c>
      <c r="B17" s="13" t="inlineStr">
        <is>
          <t>-</t>
        </is>
      </c>
      <c r="C17" s="13" t="inlineStr">
        <is>
          <t>-</t>
        </is>
      </c>
      <c r="D17" s="13" t="inlineStr">
        <is>
          <t>☑</t>
        </is>
      </c>
      <c r="E17" s="14" t="inlineStr"/>
    </row>
    <row r="18">
      <c r="A18" s="14" t="inlineStr">
        <is>
          <t>Movies list, review labels, publish</t>
        </is>
      </c>
      <c r="B18" s="13" t="inlineStr">
        <is>
          <t>-</t>
        </is>
      </c>
      <c r="C18" s="13" t="inlineStr">
        <is>
          <t>-</t>
        </is>
      </c>
      <c r="D18" s="13" t="inlineStr">
        <is>
          <t>☑</t>
        </is>
      </c>
      <c r="E18" s="14" t="inlineStr">
        <is>
          <t>Needs deployment (phase 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44" customWidth="1" min="4" max="4"/>
    <col width="26" customWidth="1" min="5" max="5"/>
  </cols>
  <sheetData>
    <row r="1">
      <c r="A1" s="1" t="inlineStr">
        <is>
          <t>Choices and decisions</t>
        </is>
      </c>
    </row>
    <row r="3">
      <c r="A3" s="7" t="inlineStr">
        <is>
          <t>Option</t>
        </is>
      </c>
      <c r="B3" s="7" t="inlineStr">
        <is>
          <t>What it gives</t>
        </is>
      </c>
      <c r="C3" s="7" t="inlineStr">
        <is>
          <t>Effort</t>
        </is>
      </c>
      <c r="D3" s="7" t="inlineStr">
        <is>
          <t>Catch</t>
        </is>
      </c>
      <c r="E3" s="7" t="inlineStr">
        <is>
          <t>Recommendation</t>
        </is>
      </c>
    </row>
    <row r="4">
      <c r="A4" s="14" t="inlineStr">
        <is>
          <t>A. Android movies + labels screens</t>
        </is>
      </c>
      <c r="B4" s="14" t="inlineStr">
        <is>
          <t>App matches the website</t>
        </is>
      </c>
      <c r="C4" s="14" t="inlineStr">
        <is>
          <t>Medium</t>
        </is>
      </c>
      <c r="D4" s="14" t="inlineStr">
        <is>
          <t>No new native code</t>
        </is>
      </c>
      <c r="E4" s="14" t="inlineStr">
        <is>
          <t>Do next</t>
        </is>
      </c>
    </row>
    <row r="5">
      <c r="A5" s="14" t="inlineStr">
        <is>
          <t>B. Deploy admin to Cloudflare Pages</t>
        </is>
      </c>
      <c r="B5" s="14" t="inlineStr">
        <is>
          <t>Upload from any device</t>
        </is>
      </c>
      <c r="C5" s="14" t="inlineStr">
        <is>
          <t>Small</t>
        </is>
      </c>
      <c r="D5" s="14" t="inlineStr">
        <is>
          <t>One setup step by you</t>
        </is>
      </c>
      <c r="E5" s="14" t="inlineStr">
        <is>
          <t>Do soon</t>
        </is>
      </c>
    </row>
    <row r="6">
      <c r="A6" s="14" t="inlineStr">
        <is>
          <t>C. Private signing key</t>
        </is>
      </c>
      <c r="B6" s="14" t="inlineStr">
        <is>
          <t>Safe updates for other users</t>
        </is>
      </c>
      <c r="C6" s="14" t="inlineStr">
        <is>
          <t>Small</t>
        </is>
      </c>
      <c r="D6" s="14" t="inlineStr">
        <is>
          <t>Needs keytool; one reinstall</t>
        </is>
      </c>
      <c r="E6" s="14" t="inlineStr">
        <is>
          <t>Do before sharing widely</t>
        </is>
      </c>
    </row>
    <row r="7">
      <c r="A7" s="14" t="inlineStr">
        <is>
          <t>D. Offline downloads + offline mode</t>
        </is>
      </c>
      <c r="B7" s="14" t="inlineStr">
        <is>
          <t>Listen without internet</t>
        </is>
      </c>
      <c r="C7" s="14" t="inlineStr">
        <is>
          <t>Large</t>
        </is>
      </c>
      <c r="D7" s="14" t="inlineStr">
        <is>
          <t>Native library; must test on a phone</t>
        </is>
      </c>
      <c r="E7" s="14" t="inlineStr">
        <is>
          <t>After A</t>
        </is>
      </c>
    </row>
    <row r="8">
      <c r="A8" s="14" t="inlineStr">
        <is>
          <t>E. In-app updater</t>
        </is>
      </c>
      <c r="B8" s="14" t="inlineStr">
        <is>
          <t>Update from inside the app</t>
        </is>
      </c>
      <c r="C8" s="14" t="inlineStr">
        <is>
          <t>Medium</t>
        </is>
      </c>
      <c r="D8" s="14" t="inlineStr">
        <is>
          <t>Android still shows its confirm prompt</t>
        </is>
      </c>
      <c r="E8" s="14" t="inlineStr">
        <is>
          <t>After C</t>
        </is>
      </c>
    </row>
    <row r="9">
      <c r="A9" s="14" t="inlineStr">
        <is>
          <t>F. Player upgrades</t>
        </is>
      </c>
      <c r="B9" s="14" t="inlineStr">
        <is>
          <t>Repeat, queue, recovery</t>
        </is>
      </c>
      <c r="C9" s="14" t="inlineStr">
        <is>
          <t>Medium</t>
        </is>
      </c>
      <c r="D9" s="14" t="inlineStr">
        <is>
          <t>-</t>
        </is>
      </c>
      <c r="E9" s="14" t="inlineStr">
        <is>
          <t>Any time</t>
        </is>
      </c>
    </row>
    <row r="10">
      <c r="A10" s="14" t="inlineStr">
        <is>
          <t>G. Train a real classifier</t>
        </is>
      </c>
      <c r="B10" s="14" t="inlineStr">
        <is>
          <t>Better label suggestions</t>
        </is>
      </c>
      <c r="C10" s="14" t="inlineStr">
        <is>
          <t>Large</t>
        </is>
      </c>
      <c r="D10" s="14" t="inlineStr">
        <is>
          <t>Needs licensed, labelled audio</t>
        </is>
      </c>
      <c r="E10" s="14" t="inlineStr">
        <is>
          <t>Only if you have data</t>
        </is>
      </c>
    </row>
    <row r="11">
      <c r="A11" s="14" t="inlineStr">
        <is>
          <t>H. App locker (separate app)</t>
        </is>
      </c>
      <c r="B11" s="14" t="inlineStr">
        <is>
          <t>Lock other apps with fingerprint + PIN</t>
        </is>
      </c>
      <c r="C11" s="14" t="inlineStr">
        <is>
          <t>Large</t>
        </is>
      </c>
      <c r="D11" s="14" t="inlineStr">
        <is>
          <t>Accessibility permission; phone-brand battery quirks</t>
        </is>
      </c>
      <c r="E11" s="14" t="inlineStr">
        <is>
          <t>Your decision</t>
        </is>
      </c>
    </row>
    <row r="12">
      <c r="A12" s="14" t="inlineStr">
        <is>
          <t>Render paid plan / keep-alive</t>
        </is>
      </c>
      <c r="B12" s="14" t="inlineStr">
        <is>
          <t>No sleeping server</t>
        </is>
      </c>
      <c r="C12" s="14" t="inlineStr">
        <is>
          <t>Small</t>
        </is>
      </c>
      <c r="D12" s="14" t="inlineStr">
        <is>
          <t>Paid, or pings</t>
        </is>
      </c>
      <c r="E12" s="14" t="inlineStr">
        <is>
          <t>Optional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A5F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Rules we keep</t>
        </is>
      </c>
    </row>
    <row r="3">
      <c r="A3" s="14" t="inlineStr">
        <is>
          <t>YouTube is played only in its own visible embedded player. No downloading, no audio extraction, no hidden player.</t>
        </is>
      </c>
    </row>
    <row r="4">
      <c r="A4" s="14" t="inlineStr">
        <is>
          <t>Songs can be downloaded only when the admin marks them downloadable and has the rights.</t>
        </is>
      </c>
    </row>
    <row r="5">
      <c r="A5" s="14" t="inlineStr">
        <is>
          <t>No music imported from sites without a licence.</t>
        </is>
      </c>
    </row>
    <row r="6">
      <c r="A6" s="14" t="inlineStr">
        <is>
          <t>Uploads need a rights confirmation and arrive as drafts; nothing is public until published.</t>
        </is>
      </c>
    </row>
    <row r="7">
      <c r="A7" s="14" t="inlineStr">
        <is>
          <t>Search uses only labels an admin has approved.</t>
        </is>
      </c>
    </row>
    <row r="8">
      <c r="A8" s="14" t="inlineStr">
        <is>
          <t>Secrets live in Render and GitHub settings only - never in the app, repo or chat.</t>
        </is>
      </c>
    </row>
    <row r="9">
      <c r="A9" s="14" t="inlineStr">
        <is>
          <t>The APK is built only when asked (tag vX.Y.Z or manual run). Takes about 18-25 minutes.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2026-10-05T07:12:08Z</dcterms:created>
  <dcterms:modified xmlns:dcterms="http://purl.org/dc/terms/" xmlns:xsi="http://www.w3.org/2001/XMLSchema-instance" xsi:type="dcterms:W3CDTF">2026-10-05T07:12:16Z</dcterms:modified>
</cp:coreProperties>
</file>